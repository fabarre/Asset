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 OPERATIVI" state="visible" r:id="rId4"/>
    <sheet sheetId="2" name="CAPEX" state="visible" r:id="rId5"/>
    <sheet sheetId="3" name="OPEX" state="visible" r:id="rId6"/>
    <sheet sheetId="4" name="CONTO ECONOMICO" state="visible" r:id="rId7"/>
    <sheet sheetId="5" name="RENDICONTO FINANZIARIO SPV" state="visible" r:id="rId8"/>
    <sheet sheetId="6" name="RENDICONTO FINANZIARIO HOLDING" state="visible" r:id="rId9"/>
    <sheet sheetId="7" name="FINANZA" state="visible" r:id="rId10"/>
    <sheet sheetId="8" name="AMMORTAMENTO" state="visible" r:id="rId11"/>
  </sheets>
  <calcPr calcId="171027"/>
</workbook>
</file>

<file path=xl/sharedStrings.xml><?xml version="1.0" encoding="utf-8"?>
<sst xmlns="http://schemas.openxmlformats.org/spreadsheetml/2006/main" count="218" uniqueCount="194">
  <si>
    <t>DRIVER OPERATIVI</t>
  </si>
  <si>
    <t>Anno 1</t>
  </si>
  <si>
    <t>Anno 2</t>
  </si>
  <si>
    <t>Anno 3</t>
  </si>
  <si>
    <t>Anno 4</t>
  </si>
  <si>
    <t>Anno 5</t>
  </si>
  <si>
    <t>QUANTITATIVI DI ENERGIA (MWh)</t>
  </si>
  <si>
    <t>Produzione Fotovoltaica Totale (MWh)</t>
  </si>
  <si>
    <t>di cui: Energia FV in Autoconsumo / PPA (MWh)</t>
  </si>
  <si>
    <t>di cui: Energia FV immessa in Rete / RID (MWh)</t>
  </si>
  <si>
    <t>di cui: Energia FV per Carica BESS (MWh)</t>
  </si>
  <si>
    <t>Scarica BESS Totale (MWh)</t>
  </si>
  <si>
    <t>di cui: Scarica BESS per Autoconsumo / PPA (MWh)</t>
  </si>
  <si>
    <t>di cui: Scarica BESS immessa in Rete / RID (MWh)</t>
  </si>
  <si>
    <t xml:space="preserve">  - di cui: Scarica Rete da Arbitraggio (MWh)</t>
  </si>
  <si>
    <t xml:space="preserve">  - di cui: Scarica Rete da Timeshifting (MWh)</t>
  </si>
  <si>
    <t>Carica BESS da Rete (MWh)</t>
  </si>
  <si>
    <t>Perdite di Efficienza BESS (RTE) (MWh)</t>
  </si>
  <si>
    <t>FATTORI MACROECONOMICI</t>
  </si>
  <si>
    <t>Tasso di Inflazione (%)</t>
  </si>
  <si>
    <t>Premio Commerciale PPA (%)</t>
  </si>
  <si>
    <t>Potenza Totale Impianti (kWp)</t>
  </si>
  <si>
    <t>VALORI UNITARI DI RICAVO &amp; COSTO (€/MWh)</t>
  </si>
  <si>
    <t>Valore Unitario Medio Ponderato FV (€/MWh)</t>
  </si>
  <si>
    <t>Prezzo Unitario PPA On-Site FV (€/MWh)</t>
  </si>
  <si>
    <t>Prezzo Unitario RID FV (€/MWh)</t>
  </si>
  <si>
    <t>Valore Unitario Medio Ponderato BESS (€/MWh)</t>
  </si>
  <si>
    <t>Prezzo Unitario PPA On-Site BESS (€/MWh)</t>
  </si>
  <si>
    <t>Prezzo Unitario RID BESS (€/MWh)</t>
  </si>
  <si>
    <t xml:space="preserve">  - di cui: Prezzo di Vendita Arbitraggio (€/MWh)</t>
  </si>
  <si>
    <t xml:space="preserve">  - di cui: Prezzo di Vendita Timeshifting (€/MWh)</t>
  </si>
  <si>
    <t>Costo Unitario Ricarica BESS da Rete (€/MWh)</t>
  </si>
  <si>
    <t>Voci di Costo CAPEX</t>
  </si>
  <si>
    <t>Guasticce (kW)</t>
  </si>
  <si>
    <t>Castenaso (kW)</t>
  </si>
  <si>
    <t>TOTALE PORTAFOGLIO</t>
  </si>
  <si>
    <t>Aliquota Ammortamento (%)</t>
  </si>
  <si>
    <t>EPC Solar (€)</t>
  </si>
  <si>
    <t>BESS (€)</t>
  </si>
  <si>
    <t>Connessione (€)</t>
  </si>
  <si>
    <t>Sviluppo (€)</t>
  </si>
  <si>
    <t>SPV Acquisizione (€)</t>
  </si>
  <si>
    <t>Terreni (Acquisto) (€)</t>
  </si>
  <si>
    <t>Terreni (DDS Attualizzato) (€)</t>
  </si>
  <si>
    <t>TOTALE CAPEX (€)</t>
  </si>
  <si>
    <t>AMMORTAMENTO CIVILISTICO</t>
  </si>
  <si>
    <t>Quota Ammortamento EPC Solar</t>
  </si>
  <si>
    <t>Quota Ammortamento BESS</t>
  </si>
  <si>
    <t>Quota Ammortamento Connessione</t>
  </si>
  <si>
    <t>Quota Ammortamento Sviluppo</t>
  </si>
  <si>
    <t>Quota Ammortamento Terreni DDS Att.</t>
  </si>
  <si>
    <t>TOTALE AMMORTAMENTO ANNUALE (€)</t>
  </si>
  <si>
    <t>Voci di Costo OPEX</t>
  </si>
  <si>
    <t>Guasticce (Anno 1)</t>
  </si>
  <si>
    <t>Castenaso (Anno 1)</t>
  </si>
  <si>
    <t>TOTALE PORTAFOGLIO (Anno 1)</t>
  </si>
  <si>
    <t>di cui: O&amp;M Impianti (€)</t>
  </si>
  <si>
    <t>di cui: O&amp;M BESS (€)</t>
  </si>
  <si>
    <t>di cui: Costo Ricarica BESS da Rete (€)</t>
  </si>
  <si>
    <t>di cui: Assicurazione (€)</t>
  </si>
  <si>
    <t>di cui: IMU/TASI (€)</t>
  </si>
  <si>
    <t>di cui: Security (€)</t>
  </si>
  <si>
    <t>di cui: Asset Management (€)</t>
  </si>
  <si>
    <t>di cui: DDS Terreni Annuo (€)</t>
  </si>
  <si>
    <t>di cui: BESS Maint. Reserve Accantonata (€)</t>
  </si>
  <si>
    <t>TOTALE OPEX (€)</t>
  </si>
  <si>
    <t>RICAVI TOTALI SPV (€)</t>
  </si>
  <si>
    <t>di cui: Ricavi da RID generato da FV (€)</t>
  </si>
  <si>
    <t>di cui: Ricavi da PPA (FV + BESS) (€)</t>
  </si>
  <si>
    <t>di cui: Ricavi da Time Shifting (€)</t>
  </si>
  <si>
    <t>di cui: Ricavi da Arbitraggio (€)</t>
  </si>
  <si>
    <t>(-) COSTI OPERATIVI (OPEX) TOTALE SPV (€)</t>
  </si>
  <si>
    <t>di cui: O&amp;M Impianti Fotovoltaici (€)</t>
  </si>
  <si>
    <t>di cui: Costi Operativi BESS (€)</t>
  </si>
  <si>
    <t>di cui: Costo Energia Pre-carica da Rete BESS (€)</t>
  </si>
  <si>
    <t>di cui: Canone DDS/Affitto Terreno (€)</t>
  </si>
  <si>
    <t>di cui: Assicurazione (All Risk / RC) (€)</t>
  </si>
  <si>
    <t>di cui: Tasse Locali / IMU (€)</t>
  </si>
  <si>
    <t>di cui: Vigilanza &amp; Sicurezza (€)</t>
  </si>
  <si>
    <t>di cui: Gestione Amministrativa &amp; Asset Mgt (€)</t>
  </si>
  <si>
    <t>di cui: Contratto di Servizio Commerciale PPA (€)</t>
  </si>
  <si>
    <t>MARGINE OPERATIVO LORDO (EBITDA) (€)</t>
  </si>
  <si>
    <t>(-) Ammortamento Civilistico (€)</t>
  </si>
  <si>
    <t>di cui: Ammortamento Impianti Solari (€)</t>
  </si>
  <si>
    <t>di cui: Ammortamento BESS (€)</t>
  </si>
  <si>
    <t>di cui: Ammortamento Altri Costi Capitalizzati (€)</t>
  </si>
  <si>
    <t>EBIT SPV (Risultato Operativo) (€)</t>
  </si>
  <si>
    <t xml:space="preserve">  (+) Interessi Attivi su MRA (€)</t>
  </si>
  <si>
    <t xml:space="preserve">  (-) Interessi Passivi Mutuo Bancario (€)</t>
  </si>
  <si>
    <t xml:space="preserve">  (-) Interessi Finanziamento Soci (Accrual) (5.50%) (€)</t>
  </si>
  <si>
    <t>EBT — Utile ante Imposte SPV (€)</t>
  </si>
  <si>
    <t xml:space="preserve">  (-) Imposte Correnti SPV (IRES 24% + IRAP 3.9%) (€)</t>
  </si>
  <si>
    <t xml:space="preserve">  (-/+) Variazione Imposte Differite (⇒ Sez. B) (€)</t>
  </si>
  <si>
    <t>UTILE NETTO CIVILISTICO SPV (⇒ Sez. B) (€)</t>
  </si>
  <si>
    <t>⇒ Utile Netto Civilistico SPV (da Sez. A) (€)</t>
  </si>
  <si>
    <t xml:space="preserve">  (+) Ripresa Ammortamento Civilistico (Non-Cash) (€)</t>
  </si>
  <si>
    <t xml:space="preserve">  (+/-) Ripresa Imposte Differite (da Sez. A) (€)</t>
  </si>
  <si>
    <t xml:space="preserve">  (+) Ripresa Interessi Mutuo Bancario Senior (Accrual) (€)</t>
  </si>
  <si>
    <t xml:space="preserve">  (+) Ripresa Interessi Finanziamento Soci (Accrual) (€)</t>
  </si>
  <si>
    <t xml:space="preserve">  (-) Accantonamento a Riserva di Manutenzione (MRA) (€)</t>
  </si>
  <si>
    <t xml:space="preserve">  (-) CAPEX Sostituzione Celle NMC/LFP BESS (€)</t>
  </si>
  <si>
    <t xml:space="preserve">  (+) Rilascio Riserva di Manutenzione (MRA) per CAPEX BESS (€)</t>
  </si>
  <si>
    <t>CFADS SPV (Cassa Disponibile ante Servizio Debito) (€)</t>
  </si>
  <si>
    <t>SERVIZIO DEL DEBITO SENIOR MUTUO BANCARIO SPV</t>
  </si>
  <si>
    <t xml:space="preserve">  (-) Quota Interessi Mutuo Bancario Pagati (€)</t>
  </si>
  <si>
    <t xml:space="preserve">  (-) Quota Capitale Mutuo Bancario Programmata (€)</t>
  </si>
  <si>
    <t xml:space="preserve">  (-) Cash Sweep Mutuo Bancario Volontario (€)</t>
  </si>
  <si>
    <t>Sweep: 50% del CFADS disponibile — per 5 anni</t>
  </si>
  <si>
    <t>CASSA DISPONIBILE POST-DEBITO SENIOR (FCFE SPV) (€)</t>
  </si>
  <si>
    <t>CASCATA DISTRIBUZIONE SPV → HOLDCO (Waterfall)</t>
  </si>
  <si>
    <t xml:space="preserve">  (-) Interessi Soci Pagati da SPV a HoldCo (⇒ Sez. C) (€)</t>
  </si>
  <si>
    <t xml:space="preserve">  (-) Rimborso Capitale Finanziamento Soci a HoldCo (⇒ Sez. C) (€)</t>
  </si>
  <si>
    <t xml:space="preserve">  (-) Dividendi SPV Distribuiti a HoldCo (⇒ Sez. C) (€)</t>
  </si>
  <si>
    <t>(=) Cassa Rimanente non distribuita in SPV (Cash Trap) (€)</t>
  </si>
  <si>
    <t>⇒ Flusso Cassa Risalito Totale da SPV (da Sez. B) (€)</t>
  </si>
  <si>
    <t xml:space="preserve">  di cui: Interessi Finanziamento Soci ricevuti (€)</t>
  </si>
  <si>
    <t xml:space="preserve">  di cui: Rimborso Capitale Finanziamento Soci ricevuto (€)</t>
  </si>
  <si>
    <t xml:space="preserve">  di cui: Dividendi SPV ricevuti (€)</t>
  </si>
  <si>
    <t xml:space="preserve">  di cui: Ricavi Gestione Amministrativa &amp; Asset Mgt ricevuti da SPV (€)</t>
  </si>
  <si>
    <t xml:space="preserve">  (-) Spese Funzionamento Holding (€)</t>
  </si>
  <si>
    <t xml:space="preserve">  (-) Earn-Out Holding (€)</t>
  </si>
  <si>
    <t xml:space="preserve">  (-) Imposta IRES HoldCo (24% su interessi netti e 5% dividendi) (€)</t>
  </si>
  <si>
    <t>UTILE NETTO HOLDING CIVILISTICO (€)</t>
  </si>
  <si>
    <t xml:space="preserve">  (+) Rimborso Capitale Finanziamento Soci (Cassa Patrimoniale) (€)</t>
  </si>
  <si>
    <t>FLUSSO DA DISMISSIONE INVESTIMENTO (EXIT) (€)</t>
  </si>
  <si>
    <t>di cui: Enterprise Value di Exit (€)</t>
  </si>
  <si>
    <t xml:space="preserve">  (-) di cui: Rimborso Debito Residuo Mutuo Bancario (€)</t>
  </si>
  <si>
    <t xml:space="preserve">  (-) di cui: Imposte PEX su Plusvalenza Exit (€)</t>
  </si>
  <si>
    <t>FCFE — FLUSSO NETTO INVESTITORE (€)</t>
  </si>
  <si>
    <t>FCFE CUMULATO INVESTITORE (€)</t>
  </si>
  <si>
    <t>PARAMETRI E STRUTTURA FINANZIARIA</t>
  </si>
  <si>
    <t>Valore</t>
  </si>
  <si>
    <t>%</t>
  </si>
  <si>
    <t>TASSI E RENDIMENTI (MACRO)</t>
  </si>
  <si>
    <t>Ke Valutativo (Cost of Equity)</t>
  </si>
  <si>
    <t>WACC (Weighted Average Cost of Capital)</t>
  </si>
  <si>
    <t>Inflazione Media Attesa</t>
  </si>
  <si>
    <t>Tasso di Ammortamento Fiscale</t>
  </si>
  <si>
    <t>STRUTTURA DEL DEBITO &amp; CASH SWEEP</t>
  </si>
  <si>
    <t>Leverage (D/E Ratio Target)</t>
  </si>
  <si>
    <t>Tasso Interesse Debito Senior</t>
  </si>
  <si>
    <t>Base di Calcolo Debito (Debt Basis)</t>
  </si>
  <si>
    <t>Totale Investimento al netto SPV</t>
  </si>
  <si>
    <t>Durata Debito Senior (Anni)</t>
  </si>
  <si>
    <t>Tipo di Cash Sweep</t>
  </si>
  <si>
    <t>% del CFADS</t>
  </si>
  <si>
    <t>Valore Cash Sweep (%)</t>
  </si>
  <si>
    <t>Anni di Blocco Cash Sweep</t>
  </si>
  <si>
    <t>FINANZIAMENTO SOCI E HOLDING</t>
  </si>
  <si>
    <t>Quota Equity Finanziata dai Soci (%)</t>
  </si>
  <si>
    <t>Tasso Interesse Finanziamento Soci</t>
  </si>
  <si>
    <t>Preammortamento Interessi Soci (Anni)</t>
  </si>
  <si>
    <t>Preammortamento Capitale Soci (Anni)</t>
  </si>
  <si>
    <t>Capitale Iniziale Holding (€)</t>
  </si>
  <si>
    <t>Opzione di Uscita (Exit Strategy)</t>
  </si>
  <si>
    <t>Uscita a Fine Anno 5 (RTB)</t>
  </si>
  <si>
    <t>Multiplo EBITDA di Uscita (x)</t>
  </si>
  <si>
    <t>Valutazione di Uscita per MWp (€)</t>
  </si>
  <si>
    <t>Valutazione Enterprise Value Fissa (€)</t>
  </si>
  <si>
    <t>SCENARI PREZZI E VINCOLI</t>
  </si>
  <si>
    <t>Scenario Curve di Prezzo</t>
  </si>
  <si>
    <t>Caso Base (PUN GME)</t>
  </si>
  <si>
    <t>Prezzo Floor Minimo ZONALE (€/MWh)</t>
  </si>
  <si>
    <t>Tasso Decadimento Bearish Annuo (%)</t>
  </si>
  <si>
    <t>Blocco Dividendi Fino Estinzione Debito</t>
  </si>
  <si>
    <t>SÌ</t>
  </si>
  <si>
    <t>TOTALE USI E BASE FINANZIABILE</t>
  </si>
  <si>
    <t>Costo Totale Progetto (CAPEX)</t>
  </si>
  <si>
    <t>Costo Acquisizione SPV (Da escludere se base ev_ex_spv)</t>
  </si>
  <si>
    <t>Capitale Sociale HoldCo (Da versare)</t>
  </si>
  <si>
    <t>TOTALE FABBISOGNO (Usi)</t>
  </si>
  <si>
    <t>Base Finanziabile Effettiva</t>
  </si>
  <si>
    <t>TOTALE FONTI (Coperture)</t>
  </si>
  <si>
    <t>Debito Bancario (Senior Loan)</t>
  </si>
  <si>
    <t>Totale Equity (Mezzi Propri)</t>
  </si>
  <si>
    <t xml:space="preserve">  - Capitale Sociale HoldCo (Versato)</t>
  </si>
  <si>
    <t xml:space="preserve">  - Finanziamento Soci (Subordinated Debt)</t>
  </si>
  <si>
    <t xml:space="preserve">  - Riserva / Altro Equity</t>
  </si>
  <si>
    <t>TOTALE FONTI</t>
  </si>
  <si>
    <t>Controllo Squadratura (Usi - Fonti)</t>
  </si>
  <si>
    <t>1. DEBITO BANCARIO SPV – Project Finance (Senior Debt)</t>
  </si>
  <si>
    <t>Debito Residuo Inizio Anno (€)</t>
  </si>
  <si>
    <t>(-) Quota Interessi Mutuo Maturati (€)</t>
  </si>
  <si>
    <t>(-) Quota Capitale Programmata (€)</t>
  </si>
  <si>
    <t>(-) Quota Capitale Prepagata - Cash Sweep (€)</t>
  </si>
  <si>
    <t>Debito Residuo Fine Anno (€)</t>
  </si>
  <si>
    <t>SERVIZIO DEL DEBITO EFFETTIVO (€)</t>
  </si>
  <si>
    <t>DSCR (Debt Service Coverage Ratio)</t>
  </si>
  <si>
    <t>2. FINANZIAMENTO SOCI – Subordinated Shareholder Loan (100% Equity)</t>
  </si>
  <si>
    <t>Finanziamento Soci Inizio Anno (€)</t>
  </si>
  <si>
    <t>(-) Interessi Maturati (5.50% p.a., grazia anni 1-10) (€)</t>
  </si>
  <si>
    <t>(+) Interessi Pagati Effettivamente (€)</t>
  </si>
  <si>
    <t>(-) Rimborso Quota Capitale (grazia anni 1-10) (€)</t>
  </si>
  <si>
    <t>Finanziamento Soci Fine Anno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</si>
</sst>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 &quot;MWh&quot;"/>
    <numFmt numFmtId="165" formatCode="€ #,##0.00 &quot;/MWh&quot;"/>
    <numFmt numFmtId="166" formatCode="€ #,##0"/>
    <numFmt numFmtId="167" formatCode="0.00&quot;x&quot;"/>
  </numFmts>
  <fonts count="12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i/>
      <color rgb="FF595959"/>
    </font>
    <font>
      <i/>
      <color rgb="FF7F7F7F"/>
    </font>
    <font>
      <color rgb="FFC00000"/>
    </font>
    <font>
      <b/>
    </font>
    <font>
      <color rgb="FF006100"/>
    </font>
    <font>
      <color rgb="FF000000"/>
    </font>
    <font>
      <b/>
      <color rgb="FFE2E8F0"/>
    </font>
    <font>
      <b/>
      <color rgb="FFC00000"/>
    </font>
    <font>
      <b/>
      <color rgb="FFFFFFFF"/>
      <sz val="10"/>
    </font>
  </fonts>
  <fills count="12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E2EFDA"/>
      </patternFill>
    </fill>
    <fill>
      <patternFill patternType="solid">
        <fgColor rgb="FF4A235A"/>
      </patternFill>
    </fill>
    <fill>
      <patternFill patternType="solid">
        <fgColor rgb="FFF4ECF7"/>
      </patternFill>
    </fill>
    <fill>
      <patternFill patternType="solid">
        <fgColor rgb="FF0E625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 indent="2"/>
    </xf>
    <xf numFmtId="164" fontId="4" fillId="5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0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0" fillId="0" borderId="0" xfId="0" applyNumberFormat="1"/>
    <xf numFmtId="10" fontId="0" fillId="0" borderId="0" xfId="0" applyNumberFormat="1"/>
    <xf numFmtId="0" fontId="6" fillId="6" borderId="0" xfId="0" applyFont="1" applyFill="1"/>
    <xf numFmtId="166" fontId="6" fillId="0" borderId="0" xfId="0" applyNumberFormat="1" applyFont="1"/>
    <xf numFmtId="0" fontId="1" fillId="7" borderId="0" xfId="0" applyFont="1" applyFill="1"/>
    <xf numFmtId="0" fontId="6" fillId="8" borderId="0" xfId="0" applyFont="1" applyFill="1"/>
    <xf numFmtId="166" fontId="2" fillId="3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/>
    </xf>
    <xf numFmtId="166" fontId="8" fillId="5" borderId="1" xfId="0" applyNumberFormat="1" applyFont="1" applyFill="1" applyBorder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166" fontId="10" fillId="4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6" fillId="0" borderId="0" xfId="0" applyFont="1"/>
    <xf numFmtId="10" fontId="6" fillId="0" borderId="0" xfId="0" applyNumberFormat="1" applyFont="1"/>
    <xf numFmtId="0" fontId="11" fillId="9" borderId="0" xfId="0" applyFont="1" applyFill="1"/>
    <xf numFmtId="0" fontId="8" fillId="5" borderId="0" xfId="0" applyFont="1" applyFill="1"/>
    <xf numFmtId="166" fontId="8" fillId="5" borderId="0" xfId="0" applyNumberFormat="1" applyFont="1" applyFill="1"/>
    <xf numFmtId="0" fontId="5" fillId="5" borderId="0" xfId="0" applyFont="1" applyFill="1"/>
    <xf numFmtId="166" fontId="5" fillId="5" borderId="0" xfId="0" applyNumberFormat="1" applyFont="1" applyFill="1"/>
    <xf numFmtId="0" fontId="2" fillId="4" borderId="0" xfId="0" applyFont="1" applyFill="1"/>
    <xf numFmtId="166" fontId="2" fillId="4" borderId="0" xfId="0" applyNumberFormat="1" applyFont="1" applyFill="1"/>
    <xf numFmtId="0" fontId="2" fillId="10" borderId="0" xfId="0" applyFont="1" applyFill="1"/>
    <xf numFmtId="166" fontId="2" fillId="10" borderId="0" xfId="0" applyNumberFormat="1" applyFont="1" applyFill="1"/>
    <xf numFmtId="167" fontId="2" fillId="4" borderId="0" xfId="0" applyNumberFormat="1" applyFont="1" applyFill="1"/>
    <xf numFmtId="0" fontId="11" fillId="11" borderId="0" xfId="0" applyFont="1" applyFill="1"/>
    <xf numFmtId="0" fontId="7" fillId="5" borderId="0" xfId="0" applyFont="1" applyFill="1"/>
    <xf numFmtId="166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0</v>
      </c>
      <c r="C2" s="3">
        <v>0</v>
      </c>
      <c r="D2" s="3">
        <v>0</v>
      </c>
      <c r="E2" s="3">
        <v>0</v>
      </c>
      <c r="F2" s="3">
        <v>0</v>
      </c>
    </row>
    <row r="3" spans="1:6" x14ac:dyDescent="0.25">
      <c r="A3" s="4" t="s">
        <v>7</v>
      </c>
      <c r="B3" s="5">
        <f>B4+B5+B6</f>
      </c>
      <c r="C3" s="5">
        <f>C4+C5+C6</f>
      </c>
      <c r="D3" s="5">
        <f>D4+D5+D6</f>
      </c>
      <c r="E3" s="5">
        <f>E4+E5+E6</f>
      </c>
      <c r="F3" s="5">
        <f>F4+F5+F6</f>
      </c>
    </row>
    <row r="4" spans="1:6" x14ac:dyDescent="0.25">
      <c r="A4" s="6" t="s">
        <v>8</v>
      </c>
      <c r="B4" s="7">
        <v>5559.5356578999435</v>
      </c>
      <c r="C4" s="7">
        <v>5540.077283097293</v>
      </c>
      <c r="D4" s="7">
        <v>5520.618908294644</v>
      </c>
      <c r="E4" s="7">
        <v>5501.160533491994</v>
      </c>
      <c r="F4" s="7">
        <v>5481.702158689343</v>
      </c>
    </row>
    <row r="5" spans="1:6" x14ac:dyDescent="0.25">
      <c r="A5" s="6" t="s">
        <v>9</v>
      </c>
      <c r="B5" s="7">
        <v>7940.704025700044</v>
      </c>
      <c r="C5" s="7">
        <v>7912.911561610094</v>
      </c>
      <c r="D5" s="7">
        <v>7885.119097520144</v>
      </c>
      <c r="E5" s="7">
        <v>7857.326633430194</v>
      </c>
      <c r="F5" s="7">
        <v>7829.534169340244</v>
      </c>
    </row>
    <row r="6" spans="1:6" x14ac:dyDescent="0.25">
      <c r="A6" s="6" t="s">
        <v>10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x14ac:dyDescent="0.25">
      <c r="A7" s="4" t="s">
        <v>11</v>
      </c>
      <c r="B7" s="5">
        <f>B8+B9</f>
      </c>
      <c r="C7" s="5">
        <f>C8+C9</f>
      </c>
      <c r="D7" s="5">
        <f>D8+D9</f>
      </c>
      <c r="E7" s="5">
        <f>E8+E9</f>
      </c>
      <c r="F7" s="5">
        <f>F8+F9</f>
      </c>
    </row>
    <row r="8" spans="1:6" x14ac:dyDescent="0.25">
      <c r="A8" s="6" t="s">
        <v>12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6" x14ac:dyDescent="0.25">
      <c r="A9" s="6" t="s">
        <v>13</v>
      </c>
      <c r="B9" s="7">
        <f>B10+B11</f>
      </c>
      <c r="C9" s="7">
        <f>C10+C11</f>
      </c>
      <c r="D9" s="7">
        <f>D10+D11</f>
      </c>
      <c r="E9" s="7">
        <f>E10+E11</f>
      </c>
      <c r="F9" s="7">
        <f>F10+F11</f>
      </c>
    </row>
    <row r="10" spans="1:6" x14ac:dyDescent="0.25">
      <c r="A10" s="8" t="s">
        <v>14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</row>
    <row r="11" spans="1:6" x14ac:dyDescent="0.25">
      <c r="A11" s="8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</row>
    <row r="12" spans="1:6" x14ac:dyDescent="0.25">
      <c r="A12" s="6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</row>
    <row r="13" spans="1:6" x14ac:dyDescent="0.25">
      <c r="A13" s="10" t="s">
        <v>17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</row>
    <row r="15" spans="1:6" x14ac:dyDescent="0.25">
      <c r="A15" s="2" t="s">
        <v>18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x14ac:dyDescent="0.25">
      <c r="A16" s="4" t="s">
        <v>19</v>
      </c>
      <c r="B16" s="12">
        <v>0.02</v>
      </c>
      <c r="C16" s="12">
        <v>0.02</v>
      </c>
      <c r="D16" s="12">
        <v>0.02</v>
      </c>
      <c r="E16" s="12">
        <v>0.02</v>
      </c>
      <c r="F16" s="12">
        <v>0.02</v>
      </c>
    </row>
    <row r="17" spans="1:6" x14ac:dyDescent="0.25">
      <c r="A17" s="4" t="s">
        <v>20</v>
      </c>
      <c r="B17" s="12">
        <v>0.05</v>
      </c>
      <c r="C17" s="12">
        <v>0.05</v>
      </c>
      <c r="D17" s="12">
        <v>0.05</v>
      </c>
      <c r="E17" s="12">
        <v>0.05</v>
      </c>
      <c r="F17" s="12">
        <v>0.05</v>
      </c>
    </row>
    <row r="18" spans="1:6" x14ac:dyDescent="0.25">
      <c r="A18" s="4" t="s">
        <v>21</v>
      </c>
      <c r="B18" s="13">
        <v>8186.2</v>
      </c>
      <c r="C18" s="13">
        <v>8186.2</v>
      </c>
      <c r="D18" s="13">
        <v>8186.2</v>
      </c>
      <c r="E18" s="13">
        <v>8186.2</v>
      </c>
      <c r="F18" s="13">
        <v>8186.2</v>
      </c>
    </row>
    <row r="20" spans="1:6" x14ac:dyDescent="0.25">
      <c r="A20" s="2" t="s">
        <v>22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25">
      <c r="A21" s="4" t="s">
        <v>23</v>
      </c>
      <c r="B21" s="14">
        <f>IFERROR((B22*B4 + B23*B5)/(B4+B5), 0)</f>
      </c>
      <c r="C21" s="14">
        <f>IFERROR((C22*C4 + C23*C5)/(C4+C5), 0)</f>
      </c>
      <c r="D21" s="14">
        <f>IFERROR((D22*D4 + D23*D5)/(D4+D5), 0)</f>
      </c>
      <c r="E21" s="14">
        <f>IFERROR((E22*E4 + E23*E5)/(E4+E5), 0)</f>
      </c>
      <c r="F21" s="14">
        <f>IFERROR((F22*F4 + F23*F5)/(F4+F5), 0)</f>
      </c>
    </row>
    <row r="22" spans="1:6" x14ac:dyDescent="0.25">
      <c r="A22" s="6" t="s">
        <v>24</v>
      </c>
      <c r="B22" s="15">
        <v>140.000000000002</v>
      </c>
      <c r="C22" s="15">
        <v>140.00000000000202</v>
      </c>
      <c r="D22" s="15">
        <v>140.000000000002</v>
      </c>
      <c r="E22" s="15">
        <v>140.000000000002</v>
      </c>
      <c r="F22" s="15">
        <v>140.000000000002</v>
      </c>
    </row>
    <row r="23" spans="1:6" x14ac:dyDescent="0.25">
      <c r="A23" s="6" t="s">
        <v>25</v>
      </c>
      <c r="B23" s="15">
        <v>107.1754120083839</v>
      </c>
      <c r="C23" s="15">
        <v>101.81664140796472</v>
      </c>
      <c r="D23" s="15">
        <v>96.72580933756647</v>
      </c>
      <c r="E23" s="15">
        <v>91.88951887068815</v>
      </c>
      <c r="F23" s="15">
        <v>87.29504292715373</v>
      </c>
    </row>
    <row r="24" spans="1:6" x14ac:dyDescent="0.25">
      <c r="A24" s="4" t="s">
        <v>26</v>
      </c>
      <c r="B24" s="14">
        <f>IFERROR((B25*B8 + B26*B9)/B7, 0)</f>
      </c>
      <c r="C24" s="14">
        <f>IFERROR((C25*C8 + C26*C9)/C7, 0)</f>
      </c>
      <c r="D24" s="14">
        <f>IFERROR((D25*D8 + D26*D9)/D7, 0)</f>
      </c>
      <c r="E24" s="14">
        <f>IFERROR((E25*E8 + E26*E9)/E7, 0)</f>
      </c>
      <c r="F24" s="14">
        <f>IFERROR((F25*F8 + F26*F9)/F7, 0)</f>
      </c>
    </row>
    <row r="25" spans="1:6" x14ac:dyDescent="0.25">
      <c r="A25" s="6" t="s">
        <v>27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</row>
    <row r="26" spans="1:6" x14ac:dyDescent="0.25">
      <c r="A26" s="6" t="s">
        <v>28</v>
      </c>
      <c r="B26" s="15">
        <f>IFERROR((B27*B10 + B28*B11)/B9, 0)</f>
      </c>
      <c r="C26" s="15">
        <f>IFERROR((C27*C10 + C28*C11)/C9, 0)</f>
      </c>
      <c r="D26" s="15">
        <f>IFERROR((D27*D10 + D28*D11)/D9, 0)</f>
      </c>
      <c r="E26" s="15">
        <f>IFERROR((E27*E10 + E28*E11)/E9, 0)</f>
      </c>
      <c r="F26" s="15">
        <f>IFERROR((F27*F10 + F28*F11)/F9, 0)</f>
      </c>
    </row>
    <row r="27" spans="1:6" x14ac:dyDescent="0.25">
      <c r="A27" s="8" t="s">
        <v>29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</row>
    <row r="28" spans="1:6" x14ac:dyDescent="0.25">
      <c r="A28" s="8" t="s">
        <v>30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</row>
    <row r="29" spans="1:6" x14ac:dyDescent="0.25">
      <c r="A29" s="10" t="s">
        <v>31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3" width="20" customWidth="1"/>
    <col min="4" max="5" width="25" customWidth="1"/>
  </cols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37</v>
      </c>
      <c r="B2" s="18">
        <v>2614500</v>
      </c>
      <c r="C2" s="18">
        <v>2501875</v>
      </c>
      <c r="D2" s="18">
        <f>SUM(B2:C2)</f>
      </c>
      <c r="E2" s="19">
        <v>0.09</v>
      </c>
    </row>
    <row r="3" spans="1:5" x14ac:dyDescent="0.25">
      <c r="A3" t="s">
        <v>38</v>
      </c>
      <c r="B3" s="18">
        <v>0</v>
      </c>
      <c r="C3" s="18">
        <v>0</v>
      </c>
      <c r="D3" s="18">
        <f>SUM(B3:C3)</f>
      </c>
      <c r="E3" s="19">
        <v>0.09</v>
      </c>
    </row>
    <row r="4" spans="1:5" x14ac:dyDescent="0.25">
      <c r="A4" t="s">
        <v>39</v>
      </c>
      <c r="B4" s="18">
        <v>62240</v>
      </c>
      <c r="C4" s="18">
        <v>43261</v>
      </c>
      <c r="D4" s="18">
        <f>SUM(B4:C4)</f>
      </c>
      <c r="E4" s="19">
        <v>0.09</v>
      </c>
    </row>
    <row r="5" spans="1:5" x14ac:dyDescent="0.25">
      <c r="A5" t="s">
        <v>40</v>
      </c>
      <c r="B5" s="18">
        <v>0</v>
      </c>
      <c r="C5" s="18">
        <v>0</v>
      </c>
      <c r="D5" s="18">
        <f>SUM(B5:C5)</f>
      </c>
      <c r="E5" s="19">
        <v>0.09</v>
      </c>
    </row>
    <row r="6" spans="1:5" x14ac:dyDescent="0.25">
      <c r="A6" t="s">
        <v>41</v>
      </c>
      <c r="B6" s="18">
        <v>400000</v>
      </c>
      <c r="C6" s="18">
        <v>400000</v>
      </c>
      <c r="D6" s="18">
        <f>SUM(B6:C6)</f>
      </c>
    </row>
    <row r="7" spans="1:5" x14ac:dyDescent="0.25">
      <c r="A7" t="s">
        <v>42</v>
      </c>
      <c r="B7" s="18">
        <v>0</v>
      </c>
      <c r="C7" s="18">
        <v>379728</v>
      </c>
      <c r="D7" s="18">
        <f>SUM(B7:C7)</f>
      </c>
    </row>
    <row r="8" spans="1:5" x14ac:dyDescent="0.25">
      <c r="A8" t="s">
        <v>43</v>
      </c>
      <c r="B8" s="18">
        <v>396000</v>
      </c>
      <c r="C8" s="18">
        <v>0</v>
      </c>
      <c r="D8" s="18">
        <f>SUM(B8:C8)</f>
      </c>
      <c r="E8" s="19">
        <v>0.09</v>
      </c>
    </row>
    <row r="10" spans="1:4" x14ac:dyDescent="0.25">
      <c r="A10" s="20" t="s">
        <v>44</v>
      </c>
      <c r="B10" s="21">
        <f>SUM(B2:B8)</f>
      </c>
      <c r="C10" s="21">
        <f>SUM(C2:C8)</f>
      </c>
      <c r="D10" s="21">
        <f>SUM(D2:D8)</f>
      </c>
    </row>
    <row r="12" spans="1:1" x14ac:dyDescent="0.25">
      <c r="A12" s="22" t="s">
        <v>45</v>
      </c>
    </row>
    <row r="13" spans="1:4" x14ac:dyDescent="0.25">
      <c r="A13" t="s">
        <v>46</v>
      </c>
      <c r="B13" s="18">
        <f>ROUND(B2 * E2, 0)</f>
      </c>
      <c r="C13" s="18">
        <f>ROUND(C2 * E2, 0)</f>
      </c>
      <c r="D13" s="18">
        <f>ROUND(D2 * E2, 0)</f>
      </c>
    </row>
    <row r="14" spans="1:4" x14ac:dyDescent="0.25">
      <c r="A14" t="s">
        <v>47</v>
      </c>
      <c r="B14" s="18">
        <f>ROUND(B3 * E3, 0)</f>
      </c>
      <c r="C14" s="18">
        <f>ROUND(C3 * E3, 0)</f>
      </c>
      <c r="D14" s="18">
        <f>ROUND(D3 * E3, 0)</f>
      </c>
    </row>
    <row r="15" spans="1:4" x14ac:dyDescent="0.25">
      <c r="A15" t="s">
        <v>48</v>
      </c>
      <c r="B15" s="18">
        <f>ROUND(B4 * E4, 0)</f>
      </c>
      <c r="C15" s="18">
        <f>ROUND(C4 * E4, 0)</f>
      </c>
      <c r="D15" s="18">
        <f>ROUND(D4 * E4, 0)</f>
      </c>
    </row>
    <row r="16" spans="1:4" x14ac:dyDescent="0.25">
      <c r="A16" t="s">
        <v>49</v>
      </c>
      <c r="B16" s="18">
        <f>ROUND(B5 * E5, 0)</f>
      </c>
      <c r="C16" s="18">
        <f>ROUND(C5 * E5, 0)</f>
      </c>
      <c r="D16" s="18">
        <f>ROUND(D5 * E5, 0)</f>
      </c>
    </row>
    <row r="17" spans="1:4" x14ac:dyDescent="0.25">
      <c r="A17" t="s">
        <v>50</v>
      </c>
      <c r="B17" s="18">
        <f>ROUND(B8 * E8, 0)</f>
      </c>
      <c r="C17" s="18">
        <f>ROUND(C8 * E8, 0)</f>
      </c>
      <c r="D17" s="18">
        <f>ROUND(D8 * E8, 0)</f>
      </c>
    </row>
    <row r="19" spans="1:4" x14ac:dyDescent="0.25">
      <c r="A19" s="23" t="s">
        <v>51</v>
      </c>
      <c r="B19" s="21">
        <f>SUM(B13:B17)</f>
      </c>
      <c r="C19" s="21">
        <f>SUM(C13:C17)</f>
      </c>
      <c r="D19" s="21">
        <f>SUM(D13:D17)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3" width="20" customWidth="1"/>
    <col min="4" max="4" width="28" customWidth="1"/>
  </cols>
  <sheetData>
    <row r="1" spans="1:4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56</v>
      </c>
      <c r="B2" s="18">
        <v>62700</v>
      </c>
      <c r="C2" s="18">
        <v>60000</v>
      </c>
      <c r="D2" s="18">
        <v>122700</v>
      </c>
    </row>
    <row r="3" spans="1:4" x14ac:dyDescent="0.25">
      <c r="A3" t="s">
        <v>57</v>
      </c>
      <c r="B3" s="18">
        <v>0</v>
      </c>
      <c r="C3" s="18">
        <v>0</v>
      </c>
      <c r="D3" s="18">
        <v>0</v>
      </c>
    </row>
    <row r="4" spans="1:4" x14ac:dyDescent="0.25">
      <c r="A4" t="s">
        <v>58</v>
      </c>
      <c r="B4" s="18">
        <v>0</v>
      </c>
      <c r="C4" s="18">
        <v>0</v>
      </c>
      <c r="D4" s="18">
        <v>0</v>
      </c>
    </row>
    <row r="5" spans="1:4" x14ac:dyDescent="0.25">
      <c r="A5" t="s">
        <v>59</v>
      </c>
      <c r="B5" s="18">
        <v>15000</v>
      </c>
      <c r="C5" s="18">
        <v>15000</v>
      </c>
      <c r="D5" s="18">
        <v>30000</v>
      </c>
    </row>
    <row r="6" spans="1:4" x14ac:dyDescent="0.25">
      <c r="A6" t="s">
        <v>60</v>
      </c>
      <c r="B6" s="18">
        <v>10400</v>
      </c>
      <c r="C6" s="18">
        <v>12500</v>
      </c>
      <c r="D6" s="18">
        <v>22900</v>
      </c>
    </row>
    <row r="7" spans="1:4" x14ac:dyDescent="0.25">
      <c r="A7" t="s">
        <v>61</v>
      </c>
      <c r="B7" s="18">
        <v>0</v>
      </c>
      <c r="C7" s="18">
        <v>0</v>
      </c>
      <c r="D7" s="18">
        <v>0</v>
      </c>
    </row>
    <row r="8" spans="1:4" x14ac:dyDescent="0.25">
      <c r="A8" t="s">
        <v>62</v>
      </c>
      <c r="B8" s="18">
        <v>60000</v>
      </c>
      <c r="C8" s="18">
        <v>60000</v>
      </c>
      <c r="D8" s="18">
        <v>120000</v>
      </c>
    </row>
    <row r="9" spans="1:4" x14ac:dyDescent="0.25">
      <c r="A9" t="s">
        <v>63</v>
      </c>
      <c r="B9" s="18">
        <v>0</v>
      </c>
      <c r="C9" s="18">
        <v>0</v>
      </c>
      <c r="D9" s="18">
        <v>0</v>
      </c>
    </row>
    <row r="10" spans="1:4" x14ac:dyDescent="0.25">
      <c r="A10" t="s">
        <v>64</v>
      </c>
      <c r="B10" s="18">
        <v>0</v>
      </c>
      <c r="C10" s="18">
        <v>0</v>
      </c>
      <c r="D10" s="18">
        <v>0</v>
      </c>
    </row>
    <row r="12" spans="1:4" x14ac:dyDescent="0.25">
      <c r="A12" s="23" t="s">
        <v>65</v>
      </c>
      <c r="B12" s="21">
        <f>SUM(B2:B10)</f>
      </c>
      <c r="C12" s="21">
        <f>SUM(C2:C10)</f>
      </c>
      <c r="D12" s="21">
        <f>SUM(D2:D10)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66</v>
      </c>
      <c r="B2" s="24">
        <f>B3+B4+B5+B6</f>
      </c>
      <c r="C2" s="24">
        <f>C3+C4+C5+C6</f>
      </c>
      <c r="D2" s="24">
        <f>D3+D4+D5+D6</f>
      </c>
      <c r="E2" s="24">
        <f>E3+E4+E5+E6</f>
      </c>
      <c r="F2" s="24">
        <f>F3+F4+F5+F6</f>
      </c>
    </row>
    <row r="3" spans="1:6" x14ac:dyDescent="0.25">
      <c r="A3" s="6" t="s">
        <v>67</v>
      </c>
      <c r="B3" s="25">
        <f>IFERROR('DRIVER OPERATIVI'!B5*'DRIVER OPERATIVI'!B23, 0)</f>
      </c>
      <c r="C3" s="25">
        <f>IFERROR('DRIVER OPERATIVI'!C5*'DRIVER OPERATIVI'!C23, 0)</f>
      </c>
      <c r="D3" s="25">
        <f>IFERROR('DRIVER OPERATIVI'!D5*'DRIVER OPERATIVI'!D23, 0)</f>
      </c>
      <c r="E3" s="25">
        <f>IFERROR('DRIVER OPERATIVI'!E5*'DRIVER OPERATIVI'!E23, 0)</f>
      </c>
      <c r="F3" s="25">
        <f>IFERROR('DRIVER OPERATIVI'!F5*'DRIVER OPERATIVI'!F23, 0)</f>
      </c>
    </row>
    <row r="4" spans="1:6" x14ac:dyDescent="0.25">
      <c r="A4" s="6" t="s">
        <v>68</v>
      </c>
      <c r="B4" s="25">
        <f>IFERROR('DRIVER OPERATIVI'!B4*'DRIVER OPERATIVI'!B22 + 'DRIVER OPERATIVI'!B8*'DRIVER OPERATIVI'!B25, 0)</f>
      </c>
      <c r="C4" s="25">
        <f>IFERROR('DRIVER OPERATIVI'!C4*'DRIVER OPERATIVI'!C22 + 'DRIVER OPERATIVI'!C8*'DRIVER OPERATIVI'!C25, 0)</f>
      </c>
      <c r="D4" s="25">
        <f>IFERROR('DRIVER OPERATIVI'!D4*'DRIVER OPERATIVI'!D22 + 'DRIVER OPERATIVI'!D8*'DRIVER OPERATIVI'!D25, 0)</f>
      </c>
      <c r="E4" s="25">
        <f>IFERROR('DRIVER OPERATIVI'!E4*'DRIVER OPERATIVI'!E22 + 'DRIVER OPERATIVI'!E8*'DRIVER OPERATIVI'!E25, 0)</f>
      </c>
      <c r="F4" s="25">
        <f>IFERROR('DRIVER OPERATIVI'!F4*'DRIVER OPERATIVI'!F22 + 'DRIVER OPERATIVI'!F8*'DRIVER OPERATIVI'!F25, 0)</f>
      </c>
    </row>
    <row r="5" spans="1:6" x14ac:dyDescent="0.25">
      <c r="A5" s="6" t="s">
        <v>69</v>
      </c>
      <c r="B5" s="25">
        <f>IFERROR('DRIVER OPERATIVI'!B11*'DRIVER OPERATIVI'!B28, 0)</f>
      </c>
      <c r="C5" s="25">
        <f>IFERROR('DRIVER OPERATIVI'!C11*'DRIVER OPERATIVI'!C28, 0)</f>
      </c>
      <c r="D5" s="25">
        <f>IFERROR('DRIVER OPERATIVI'!D11*'DRIVER OPERATIVI'!D28, 0)</f>
      </c>
      <c r="E5" s="25">
        <f>IFERROR('DRIVER OPERATIVI'!E11*'DRIVER OPERATIVI'!E28, 0)</f>
      </c>
      <c r="F5" s="25">
        <f>IFERROR('DRIVER OPERATIVI'!F11*'DRIVER OPERATIVI'!F28, 0)</f>
      </c>
    </row>
    <row r="6" spans="1:6" x14ac:dyDescent="0.25">
      <c r="A6" s="6" t="s">
        <v>70</v>
      </c>
      <c r="B6" s="25">
        <f>IFERROR('DRIVER OPERATIVI'!B10*'DRIVER OPERATIVI'!B27, 0)</f>
      </c>
      <c r="C6" s="25">
        <f>IFERROR('DRIVER OPERATIVI'!C10*'DRIVER OPERATIVI'!C27, 0)</f>
      </c>
      <c r="D6" s="25">
        <f>IFERROR('DRIVER OPERATIVI'!D10*'DRIVER OPERATIVI'!D27, 0)</f>
      </c>
      <c r="E6" s="25">
        <f>IFERROR('DRIVER OPERATIVI'!E10*'DRIVER OPERATIVI'!E27, 0)</f>
      </c>
      <c r="F6" s="25">
        <f>IFERROR('DRIVER OPERATIVI'!F10*'DRIVER OPERATIVI'!F27, 0)</f>
      </c>
    </row>
    <row r="8" spans="1:6" x14ac:dyDescent="0.25">
      <c r="A8" s="2" t="s">
        <v>71</v>
      </c>
      <c r="B8" s="24">
        <f>B9+B10+B11+B12+B13+B14+B15+B16+B17</f>
      </c>
      <c r="C8" s="24">
        <f>C9+C10+C11+C12+C13+C14+C15+C16+C17</f>
      </c>
      <c r="D8" s="24">
        <f>D9+D10+D11+D12+D13+D14+D15+D16+D17</f>
      </c>
      <c r="E8" s="24">
        <f>E9+E10+E11+E12+E13+E14+E15+E16+E17</f>
      </c>
      <c r="F8" s="24">
        <f>F9+F10+F11+F12+F13+F14+F15+F16+F17</f>
      </c>
    </row>
    <row r="9" spans="1:6" x14ac:dyDescent="0.25">
      <c r="A9" s="10" t="s">
        <v>72</v>
      </c>
      <c r="B9" s="26">
        <f>IFERROR(-OPEX!D2, 0)</f>
      </c>
      <c r="C9" s="26">
        <f>IFERROR(ROUND(B9 * (1 + 'DRIVER OPERATIVI'!C16), 0), 0)</f>
      </c>
      <c r="D9" s="26">
        <f>IFERROR(ROUND(C9 * (1 + 'DRIVER OPERATIVI'!D16), 0), 0)</f>
      </c>
      <c r="E9" s="26">
        <f>IFERROR(ROUND(D9 * (1 + 'DRIVER OPERATIVI'!E16), 0), 0)</f>
      </c>
      <c r="F9" s="26">
        <f>IFERROR(ROUND(E9 * (1 + 'DRIVER OPERATIVI'!F16), 0), 0)</f>
      </c>
    </row>
    <row r="10" spans="1:6" x14ac:dyDescent="0.25">
      <c r="A10" s="10" t="s">
        <v>73</v>
      </c>
      <c r="B10" s="26">
        <f>IFERROR(-OPEX!D3, 0)</f>
      </c>
      <c r="C10" s="26">
        <f>IFERROR(ROUND(B10 * (1 + 'DRIVER OPERATIVI'!C16), 0), 0)</f>
      </c>
      <c r="D10" s="26">
        <f>IFERROR(ROUND(C10 * (1 + 'DRIVER OPERATIVI'!D16), 0), 0)</f>
      </c>
      <c r="E10" s="26">
        <f>IFERROR(ROUND(D10 * (1 + 'DRIVER OPERATIVI'!E16), 0), 0)</f>
      </c>
      <c r="F10" s="26">
        <f>IFERROR(ROUND(E10 * (1 + 'DRIVER OPERATIVI'!F16), 0), 0)</f>
      </c>
    </row>
    <row r="11" spans="1:6" x14ac:dyDescent="0.25">
      <c r="A11" s="10" t="s">
        <v>74</v>
      </c>
      <c r="B11" s="26">
        <f>IFERROR(-('DRIVER OPERATIVI'!B12*'DRIVER OPERATIVI'!B29), 0)</f>
      </c>
      <c r="C11" s="26">
        <f>IFERROR(-('DRIVER OPERATIVI'!C12*'DRIVER OPERATIVI'!C29), 0)</f>
      </c>
      <c r="D11" s="26">
        <f>IFERROR(-('DRIVER OPERATIVI'!D12*'DRIVER OPERATIVI'!D29), 0)</f>
      </c>
      <c r="E11" s="26">
        <f>IFERROR(-('DRIVER OPERATIVI'!E12*'DRIVER OPERATIVI'!E29), 0)</f>
      </c>
      <c r="F11" s="26">
        <f>IFERROR(-('DRIVER OPERATIVI'!F12*'DRIVER OPERATIVI'!F29), 0)</f>
      </c>
    </row>
    <row r="12" spans="1:6" x14ac:dyDescent="0.25">
      <c r="A12" s="10" t="s">
        <v>75</v>
      </c>
      <c r="B12" s="26">
        <f>IFERROR(-OPEX!D9, 0)</f>
      </c>
      <c r="C12" s="26">
        <f>IFERROR(ROUND(B12 * (1 + 'DRIVER OPERATIVI'!C16), 0), 0)</f>
      </c>
      <c r="D12" s="26">
        <f>IFERROR(ROUND(C12 * (1 + 'DRIVER OPERATIVI'!D16), 0), 0)</f>
      </c>
      <c r="E12" s="26">
        <f>IFERROR(ROUND(D12 * (1 + 'DRIVER OPERATIVI'!E16), 0), 0)</f>
      </c>
      <c r="F12" s="26">
        <f>IFERROR(ROUND(E12 * (1 + 'DRIVER OPERATIVI'!F16), 0), 0)</f>
      </c>
    </row>
    <row r="13" spans="1:6" x14ac:dyDescent="0.25">
      <c r="A13" s="10" t="s">
        <v>76</v>
      </c>
      <c r="B13" s="26">
        <f>IFERROR(-OPEX!D5, 0)</f>
      </c>
      <c r="C13" s="26">
        <f>IFERROR(ROUND(B13 * (1 + 'DRIVER OPERATIVI'!C16), 0), 0)</f>
      </c>
      <c r="D13" s="26">
        <f>IFERROR(ROUND(C13 * (1 + 'DRIVER OPERATIVI'!D16), 0), 0)</f>
      </c>
      <c r="E13" s="26">
        <f>IFERROR(ROUND(D13 * (1 + 'DRIVER OPERATIVI'!E16), 0), 0)</f>
      </c>
      <c r="F13" s="26">
        <f>IFERROR(ROUND(E13 * (1 + 'DRIVER OPERATIVI'!F16), 0), 0)</f>
      </c>
    </row>
    <row r="14" spans="1:6" x14ac:dyDescent="0.25">
      <c r="A14" s="10" t="s">
        <v>77</v>
      </c>
      <c r="B14" s="26">
        <f>IFERROR(-OPEX!D6, 0)</f>
      </c>
      <c r="C14" s="26">
        <f>IFERROR(ROUND(B14 * (1 + 'DRIVER OPERATIVI'!C16), 0), 0)</f>
      </c>
      <c r="D14" s="26">
        <f>IFERROR(ROUND(C14 * (1 + 'DRIVER OPERATIVI'!D16), 0), 0)</f>
      </c>
      <c r="E14" s="26">
        <f>IFERROR(ROUND(D14 * (1 + 'DRIVER OPERATIVI'!E16), 0), 0)</f>
      </c>
      <c r="F14" s="26">
        <f>IFERROR(ROUND(E14 * (1 + 'DRIVER OPERATIVI'!F16), 0), 0)</f>
      </c>
    </row>
    <row r="15" spans="1:6" x14ac:dyDescent="0.25">
      <c r="A15" s="10" t="s">
        <v>78</v>
      </c>
      <c r="B15" s="26">
        <f>IFERROR(-OPEX!D7, 0)</f>
      </c>
      <c r="C15" s="26">
        <f>IFERROR(ROUND(B15 * (1 + 'DRIVER OPERATIVI'!C16), 0), 0)</f>
      </c>
      <c r="D15" s="26">
        <f>IFERROR(ROUND(C15 * (1 + 'DRIVER OPERATIVI'!D16), 0), 0)</f>
      </c>
      <c r="E15" s="26">
        <f>IFERROR(ROUND(D15 * (1 + 'DRIVER OPERATIVI'!E16), 0), 0)</f>
      </c>
      <c r="F15" s="26">
        <f>IFERROR(ROUND(E15 * (1 + 'DRIVER OPERATIVI'!F16), 0), 0)</f>
      </c>
    </row>
    <row r="16" spans="1:6" x14ac:dyDescent="0.25">
      <c r="A16" s="10" t="s">
        <v>79</v>
      </c>
      <c r="B16" s="26">
        <f>IFERROR(-OPEX!D8, 0)</f>
      </c>
      <c r="C16" s="26">
        <f>IFERROR(ROUND(B16 * (1 + 'DRIVER OPERATIVI'!C16), 0), 0)</f>
      </c>
      <c r="D16" s="26">
        <f>IFERROR(ROUND(C16 * (1 + 'DRIVER OPERATIVI'!D16), 0), 0)</f>
      </c>
      <c r="E16" s="26">
        <f>IFERROR(ROUND(D16 * (1 + 'DRIVER OPERATIVI'!E16), 0), 0)</f>
      </c>
      <c r="F16" s="26">
        <f>IFERROR(ROUND(E16 * (1 + 'DRIVER OPERATIVI'!F16), 0), 0)</f>
      </c>
    </row>
    <row r="17" spans="1:6" x14ac:dyDescent="0.25">
      <c r="A17" s="10" t="s">
        <v>80</v>
      </c>
      <c r="B17" s="26">
        <f>IFERROR(-ROUND('DRIVER OPERATIVI'!B22 * 'DRIVER OPERATIVI'!B4 * 'DRIVER OPERATIVI'!B17, 0), 0)</f>
      </c>
      <c r="C17" s="26">
        <f>IFERROR(-ROUND('DRIVER OPERATIVI'!C22 * 'DRIVER OPERATIVI'!C4 * 'DRIVER OPERATIVI'!C17, 0), 0)</f>
      </c>
      <c r="D17" s="26">
        <f>IFERROR(-ROUND('DRIVER OPERATIVI'!D22 * 'DRIVER OPERATIVI'!D4 * 'DRIVER OPERATIVI'!D17, 0), 0)</f>
      </c>
      <c r="E17" s="26">
        <f>IFERROR(-ROUND('DRIVER OPERATIVI'!E22 * 'DRIVER OPERATIVI'!E4 * 'DRIVER OPERATIVI'!E17, 0), 0)</f>
      </c>
      <c r="F17" s="26">
        <f>IFERROR(-ROUND('DRIVER OPERATIVI'!F22 * 'DRIVER OPERATIVI'!F4 * 'DRIVER OPERATIVI'!F17, 0), 0)</f>
      </c>
    </row>
    <row r="19" spans="1:6" x14ac:dyDescent="0.25">
      <c r="A19" s="4" t="s">
        <v>81</v>
      </c>
      <c r="B19" s="27">
        <f>B2+B8</f>
      </c>
      <c r="C19" s="27">
        <f>C2+C8</f>
      </c>
      <c r="D19" s="27">
        <f>D2+D8</f>
      </c>
      <c r="E19" s="27">
        <f>E2+E8</f>
      </c>
      <c r="F19" s="27">
        <f>F2+F8</f>
      </c>
    </row>
    <row r="21" spans="1:6" x14ac:dyDescent="0.25">
      <c r="A21" s="2" t="s">
        <v>82</v>
      </c>
      <c r="B21" s="24">
        <f>IF(1 &lt;= 12, IFERROR(-CAPEX!E19, 0), 0)</f>
      </c>
      <c r="C21" s="24">
        <f>IF(2 &lt;= 12, IFERROR(-CAPEX!E19, 0), 0)</f>
      </c>
      <c r="D21" s="24">
        <f>IF(3 &lt;= 12, IFERROR(-CAPEX!E19, 0), 0)</f>
      </c>
      <c r="E21" s="24">
        <f>IF(4 &lt;= 12, IFERROR(-CAPEX!E19, 0), 0)</f>
      </c>
      <c r="F21" s="24">
        <f>IF(5 &lt;= 12, IFERROR(-CAPEX!E19, 0), 0)</f>
      </c>
    </row>
    <row r="22" spans="1:6" x14ac:dyDescent="0.25">
      <c r="A22" s="10" t="s">
        <v>83</v>
      </c>
      <c r="B22" s="26">
        <f>IF(1 &lt;= 12, IFERROR(-CAPEX!E13, 0), 0)</f>
      </c>
      <c r="C22" s="26">
        <f>IF(2 &lt;= 12, IFERROR(-CAPEX!E13, 0), 0)</f>
      </c>
      <c r="D22" s="26">
        <f>IF(3 &lt;= 12, IFERROR(-CAPEX!E13, 0), 0)</f>
      </c>
      <c r="E22" s="26">
        <f>IF(4 &lt;= 12, IFERROR(-CAPEX!E13, 0), 0)</f>
      </c>
      <c r="F22" s="26">
        <f>IF(5 &lt;= 12, IFERROR(-CAPEX!E13, 0), 0)</f>
      </c>
    </row>
    <row r="23" spans="1:6" x14ac:dyDescent="0.25">
      <c r="A23" s="10" t="s">
        <v>84</v>
      </c>
      <c r="B23" s="26">
        <f>IF(1 &lt;= 12, IFERROR(-CAPEX!E14, 0), 0)</f>
      </c>
      <c r="C23" s="26">
        <f>IF(2 &lt;= 12, IFERROR(-CAPEX!E14, 0), 0)</f>
      </c>
      <c r="D23" s="26">
        <f>IF(3 &lt;= 12, IFERROR(-CAPEX!E14, 0), 0)</f>
      </c>
      <c r="E23" s="26">
        <f>IF(4 &lt;= 12, IFERROR(-CAPEX!E14, 0), 0)</f>
      </c>
      <c r="F23" s="26">
        <f>IF(5 &lt;= 12, IFERROR(-CAPEX!E14, 0), 0)</f>
      </c>
    </row>
    <row r="24" spans="1:6" x14ac:dyDescent="0.25">
      <c r="A24" s="10" t="s">
        <v>85</v>
      </c>
      <c r="B24" s="26">
        <f>IF(1 &lt;= 12, IFERROR(-(CAPEX!E15 + CAPEX!E16 + CAPEX!E17), 0), 0)</f>
      </c>
      <c r="C24" s="26">
        <f>IF(2 &lt;= 12, IFERROR(-(CAPEX!E15 + CAPEX!E16 + CAPEX!E17), 0), 0)</f>
      </c>
      <c r="D24" s="26">
        <f>IF(3 &lt;= 12, IFERROR(-(CAPEX!E15 + CAPEX!E16 + CAPEX!E17), 0), 0)</f>
      </c>
      <c r="E24" s="26">
        <f>IF(4 &lt;= 12, IFERROR(-(CAPEX!E15 + CAPEX!E16 + CAPEX!E17), 0), 0)</f>
      </c>
      <c r="F24" s="26">
        <f>IF(5 &lt;= 12, IFERROR(-(CAPEX!E15 + CAPEX!E16 + CAPEX!E17), 0), 0)</f>
      </c>
    </row>
    <row r="26" spans="1:6" x14ac:dyDescent="0.25">
      <c r="A26" s="4" t="s">
        <v>86</v>
      </c>
      <c r="B26" s="27">
        <f>B19+B21</f>
      </c>
      <c r="C26" s="27">
        <f>C19+C21</f>
      </c>
      <c r="D26" s="27">
        <f>D19+D21</f>
      </c>
      <c r="E26" s="27">
        <f>E19+E21</f>
      </c>
      <c r="F26" s="27">
        <f>F19+F21</f>
      </c>
    </row>
    <row r="28" spans="1:6" x14ac:dyDescent="0.25">
      <c r="A28" s="28" t="s">
        <v>87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</row>
    <row r="29" spans="1:6" x14ac:dyDescent="0.25">
      <c r="A29" s="10" t="s">
        <v>88</v>
      </c>
      <c r="B29" s="26">
        <v>-202419.13499999998</v>
      </c>
      <c r="C29" s="26">
        <v>-173484.35083461038</v>
      </c>
      <c r="D29" s="26">
        <v>-144278.25364850706</v>
      </c>
      <c r="E29" s="26">
        <v>-114752.919769599</v>
      </c>
      <c r="F29" s="26">
        <v>-84860.63632869915</v>
      </c>
    </row>
    <row r="30" spans="1:6" x14ac:dyDescent="0.25">
      <c r="A30" s="10" t="s">
        <v>89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</row>
    <row r="32" spans="1:6" x14ac:dyDescent="0.25">
      <c r="A32" s="4" t="s">
        <v>90</v>
      </c>
      <c r="B32" s="27">
        <f>B26+B28+B29+B30</f>
      </c>
      <c r="C32" s="27">
        <f>C26+C28+C29+C30</f>
      </c>
      <c r="D32" s="27">
        <f>D26+D28+D29+D30</f>
      </c>
      <c r="E32" s="27">
        <f>E26+E28+E29+E30</f>
      </c>
      <c r="F32" s="27">
        <f>F26+F28+F29+F30</f>
      </c>
    </row>
    <row r="34" spans="1:6" x14ac:dyDescent="0.25">
      <c r="A34" s="10" t="s">
        <v>91</v>
      </c>
      <c r="B34" s="26">
        <v>-172515.3858375949</v>
      </c>
      <c r="C34" s="26">
        <v>-164444.48721381644</v>
      </c>
      <c r="D34" s="26">
        <v>-157078.62774862643</v>
      </c>
      <c r="E34" s="26">
        <v>-150393.05496083922</v>
      </c>
      <c r="F34" s="26">
        <v>-144364.8314873089</v>
      </c>
    </row>
    <row r="35" spans="1:6" x14ac:dyDescent="0.25">
      <c r="A35" s="6" t="s">
        <v>92</v>
      </c>
      <c r="B35" s="25">
        <v>-1.6239937394857405e-11</v>
      </c>
      <c r="C35" s="25">
        <v>-1.6239937394857405e-11</v>
      </c>
      <c r="D35" s="25">
        <v>-1.6239937394857405e-11</v>
      </c>
      <c r="E35" s="25">
        <v>-1.6239937394857405e-11</v>
      </c>
      <c r="F35" s="25">
        <v>-1.6239937394857405e-11</v>
      </c>
    </row>
    <row r="37" spans="1:6" x14ac:dyDescent="0.25">
      <c r="A37" s="4" t="s">
        <v>93</v>
      </c>
      <c r="B37" s="27">
        <f>B32+B34+B35</f>
      </c>
      <c r="C37" s="27">
        <f>C32+C34+C35</f>
      </c>
      <c r="D37" s="27">
        <f>D32+D34+D35</f>
      </c>
      <c r="E37" s="27">
        <f>E32+E34+E35</f>
      </c>
      <c r="F37" s="27">
        <f>F32+F34+F35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6" t="s">
        <v>94</v>
      </c>
      <c r="B2" s="25">
        <f>'CONTO ECONOMICO'!B37</f>
      </c>
      <c r="C2" s="25">
        <f>'CONTO ECONOMICO'!C37</f>
      </c>
      <c r="D2" s="25">
        <f>'CONTO ECONOMICO'!D37</f>
      </c>
      <c r="E2" s="25">
        <f>'CONTO ECONOMICO'!E37</f>
      </c>
      <c r="F2" s="25">
        <f>'CONTO ECONOMICO'!F37</f>
      </c>
    </row>
    <row r="3" spans="1:6" x14ac:dyDescent="0.25">
      <c r="A3" s="28" t="s">
        <v>95</v>
      </c>
      <c r="B3" s="29">
        <f>-('CONTO ECONOMICO'!B21)</f>
      </c>
      <c r="C3" s="29">
        <f>-('CONTO ECONOMICO'!C21)</f>
      </c>
      <c r="D3" s="29">
        <f>-('CONTO ECONOMICO'!D21)</f>
      </c>
      <c r="E3" s="29">
        <f>-('CONTO ECONOMICO'!E21)</f>
      </c>
      <c r="F3" s="29">
        <f>-('CONTO ECONOMICO'!F21)</f>
      </c>
    </row>
    <row r="4" spans="1:6" x14ac:dyDescent="0.25">
      <c r="A4" s="30" t="s">
        <v>96</v>
      </c>
      <c r="B4" s="31">
        <f>'CONTO ECONOMICO'!B35</f>
      </c>
      <c r="C4" s="31">
        <f>'CONTO ECONOMICO'!C35</f>
      </c>
      <c r="D4" s="31">
        <f>'CONTO ECONOMICO'!D35</f>
      </c>
      <c r="E4" s="31">
        <f>'CONTO ECONOMICO'!E35</f>
      </c>
      <c r="F4" s="31">
        <f>'CONTO ECONOMICO'!F35</f>
      </c>
    </row>
    <row r="5" spans="1:6" x14ac:dyDescent="0.25">
      <c r="A5" s="28" t="s">
        <v>97</v>
      </c>
      <c r="B5" s="29">
        <f>-('CONTO ECONOMICO'!B29)</f>
      </c>
      <c r="C5" s="29">
        <f>-('CONTO ECONOMICO'!C29)</f>
      </c>
      <c r="D5" s="29">
        <f>-('CONTO ECONOMICO'!D29)</f>
      </c>
      <c r="E5" s="29">
        <f>-('CONTO ECONOMICO'!E29)</f>
      </c>
      <c r="F5" s="29">
        <f>-('CONTO ECONOMICO'!F29)</f>
      </c>
    </row>
    <row r="6" spans="1:6" x14ac:dyDescent="0.25">
      <c r="A6" s="28" t="s">
        <v>98</v>
      </c>
      <c r="B6" s="29">
        <f>-('CONTO ECONOMICO'!B30)</f>
      </c>
      <c r="C6" s="29">
        <f>-('CONTO ECONOMICO'!C30)</f>
      </c>
      <c r="D6" s="29">
        <f>-('CONTO ECONOMICO'!D30)</f>
      </c>
      <c r="E6" s="29">
        <f>-('CONTO ECONOMICO'!E30)</f>
      </c>
      <c r="F6" s="29">
        <f>-('CONTO ECONOMICO'!F30)</f>
      </c>
    </row>
    <row r="7" spans="1:6" x14ac:dyDescent="0.25">
      <c r="A7" s="10" t="s">
        <v>99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</row>
    <row r="8" spans="1:6" x14ac:dyDescent="0.25">
      <c r="A8" s="10" t="s">
        <v>100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</row>
    <row r="9" spans="1:6" x14ac:dyDescent="0.25">
      <c r="A9" s="28" t="s">
        <v>101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</row>
    <row r="11" spans="1:6" x14ac:dyDescent="0.25">
      <c r="A11" s="4" t="s">
        <v>102</v>
      </c>
      <c r="B11" s="27">
        <f>B2+B3+B4+B5+B6+B7+B8+B9</f>
      </c>
      <c r="C11" s="27">
        <f>C2+C3+C4+C5+C6+C7+C8+C9</f>
      </c>
      <c r="D11" s="27">
        <f>D2+D3+D4+D5+D6+D7+D8+D9</f>
      </c>
      <c r="E11" s="27">
        <f>E2+E3+E4+E5+E6+E7+E8+E9</f>
      </c>
      <c r="F11" s="27">
        <f>F2+F3+F4+F5+F6+F7+F8+F9</f>
      </c>
    </row>
    <row r="13" spans="1:6" x14ac:dyDescent="0.25">
      <c r="A13" s="32" t="s">
        <v>103</v>
      </c>
      <c r="B13" s="32"/>
      <c r="C13" s="32"/>
      <c r="D13" s="32"/>
      <c r="E13" s="32"/>
      <c r="F13" s="32"/>
    </row>
    <row r="14" spans="1:6" x14ac:dyDescent="0.25">
      <c r="A14" s="10" t="s">
        <v>104</v>
      </c>
      <c r="B14" s="26">
        <v>-202419.13499999998</v>
      </c>
      <c r="C14" s="26">
        <v>-173484.35083461038</v>
      </c>
      <c r="D14" s="26">
        <v>-144278.25364850706</v>
      </c>
      <c r="E14" s="26">
        <v>-114752.919769599</v>
      </c>
      <c r="F14" s="26">
        <v>-84860.63632869915</v>
      </c>
    </row>
    <row r="15" spans="1:6" x14ac:dyDescent="0.25">
      <c r="A15" s="10" t="s">
        <v>105</v>
      </c>
      <c r="B15" s="26">
        <v>-366058.4600965072</v>
      </c>
      <c r="C15" s="26">
        <v>-394993.2442618968</v>
      </c>
      <c r="D15" s="26">
        <v>-424199.34144800017</v>
      </c>
      <c r="E15" s="26">
        <v>-453724.67532690824</v>
      </c>
      <c r="F15" s="26">
        <v>-483616.95876780804</v>
      </c>
    </row>
    <row r="16" spans="1:6" x14ac:dyDescent="0.25">
      <c r="A16" s="10" t="s">
        <v>106</v>
      </c>
      <c r="B16" s="26">
        <v>-276936.74357881787</v>
      </c>
      <c r="C16" s="26">
        <v>-254031.13765151</v>
      </c>
      <c r="D16" s="26">
        <v>-231919.18919440114</v>
      </c>
      <c r="E16" s="26">
        <v>-210548.29002642166</v>
      </c>
      <c r="F16" s="26">
        <v>-189868.26771902514</v>
      </c>
    </row>
    <row r="17" spans="1:6" x14ac:dyDescent="0.25">
      <c r="A17" s="6" t="s">
        <v>107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</row>
    <row r="19" spans="1:6" x14ac:dyDescent="0.25">
      <c r="A19" s="4" t="s">
        <v>108</v>
      </c>
      <c r="B19" s="27">
        <f>B11+B14+B15+B16</f>
      </c>
      <c r="C19" s="27">
        <f>C11+C14+C15+C16</f>
      </c>
      <c r="D19" s="27">
        <f>D11+D14+D15+D16</f>
      </c>
      <c r="E19" s="27">
        <f>E11+E14+E15+E16</f>
      </c>
      <c r="F19" s="27">
        <f>F11+F14+F15+F16</f>
      </c>
    </row>
    <row r="21" spans="1:6" x14ac:dyDescent="0.25">
      <c r="A21" s="32" t="s">
        <v>109</v>
      </c>
      <c r="B21" s="32"/>
      <c r="C21" s="32"/>
      <c r="D21" s="32"/>
      <c r="E21" s="32"/>
      <c r="F21" s="32"/>
    </row>
    <row r="22" spans="1:6" x14ac:dyDescent="0.25">
      <c r="A22" s="10" t="s">
        <v>110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</row>
    <row r="23" spans="1:6" x14ac:dyDescent="0.25">
      <c r="A23" s="10" t="s">
        <v>111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</row>
    <row r="24" spans="1:6" x14ac:dyDescent="0.25">
      <c r="A24" s="10" t="s">
        <v>112</v>
      </c>
      <c r="B24" s="26">
        <v>0</v>
      </c>
      <c r="C24" s="26">
        <v>0</v>
      </c>
      <c r="D24" s="26">
        <v>0</v>
      </c>
      <c r="E24" s="26">
        <v>0</v>
      </c>
      <c r="F24" s="26">
        <v>-1163303.628170176</v>
      </c>
    </row>
    <row r="26" spans="1:6" x14ac:dyDescent="0.25">
      <c r="A26" s="4" t="s">
        <v>113</v>
      </c>
      <c r="B26" s="27">
        <f>MAX(B19+B22+B23+B24, 0)</f>
      </c>
      <c r="C26" s="27">
        <f>MAX(C19+C22+C23+C24, 0)</f>
      </c>
      <c r="D26" s="27">
        <f>MAX(D19+D22+D23+D24, 0)</f>
      </c>
      <c r="E26" s="27">
        <f>MAX(E19+E22+E23+E24, 0)</f>
      </c>
      <c r="F26" s="27">
        <f>MAX(F19+F22+F23+F24, 0)</f>
      </c>
    </row>
  </sheetData>
  <mergeCells count="2">
    <mergeCell ref="A13:F13"/>
    <mergeCell ref="A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114</v>
      </c>
      <c r="B2" s="24">
        <f>B3+B4+B5+B6</f>
      </c>
      <c r="C2" s="24">
        <f>C3+C4+C5+C6</f>
      </c>
      <c r="D2" s="24">
        <f>D3+D4+D5+D6</f>
      </c>
      <c r="E2" s="24">
        <f>E3+E4+E5+E6</f>
      </c>
      <c r="F2" s="24">
        <f>F3+F4+F5+F6</f>
      </c>
    </row>
    <row r="3" spans="1:6" x14ac:dyDescent="0.25">
      <c r="A3" s="6" t="s">
        <v>115</v>
      </c>
      <c r="B3" s="25">
        <f>-('RENDICONTO FINANZIARIO SPV'!B22)</f>
      </c>
      <c r="C3" s="25">
        <f>-('RENDICONTO FINANZIARIO SPV'!C22)</f>
      </c>
      <c r="D3" s="25">
        <f>-('RENDICONTO FINANZIARIO SPV'!D22)</f>
      </c>
      <c r="E3" s="25">
        <f>-('RENDICONTO FINANZIARIO SPV'!E22)</f>
      </c>
      <c r="F3" s="25">
        <f>-('RENDICONTO FINANZIARIO SPV'!F22)</f>
      </c>
    </row>
    <row r="4" spans="1:6" x14ac:dyDescent="0.25">
      <c r="A4" s="6" t="s">
        <v>116</v>
      </c>
      <c r="B4" s="25">
        <f>-('RENDICONTO FINANZIARIO SPV'!B23)</f>
      </c>
      <c r="C4" s="25">
        <f>-('RENDICONTO FINANZIARIO SPV'!C23)</f>
      </c>
      <c r="D4" s="25">
        <f>-('RENDICONTO FINANZIARIO SPV'!D23)</f>
      </c>
      <c r="E4" s="25">
        <f>-('RENDICONTO FINANZIARIO SPV'!E23)</f>
      </c>
      <c r="F4" s="25">
        <f>-('RENDICONTO FINANZIARIO SPV'!F23)</f>
      </c>
    </row>
    <row r="5" spans="1:6" x14ac:dyDescent="0.25">
      <c r="A5" s="6" t="s">
        <v>117</v>
      </c>
      <c r="B5" s="25">
        <f>-('RENDICONTO FINANZIARIO SPV'!B24)</f>
      </c>
      <c r="C5" s="25">
        <f>-('RENDICONTO FINANZIARIO SPV'!C24)</f>
      </c>
      <c r="D5" s="25">
        <f>-('RENDICONTO FINANZIARIO SPV'!D24)</f>
      </c>
      <c r="E5" s="25">
        <f>-('RENDICONTO FINANZIARIO SPV'!E24)</f>
      </c>
      <c r="F5" s="25">
        <f>-('RENDICONTO FINANZIARIO SPV'!F24)</f>
      </c>
    </row>
    <row r="6" spans="1:6" x14ac:dyDescent="0.25">
      <c r="A6" s="6" t="s">
        <v>118</v>
      </c>
      <c r="B6" s="25">
        <f>-('CONTO ECONOMICO'!B16)</f>
      </c>
      <c r="C6" s="25">
        <f>-('CONTO ECONOMICO'!C16)</f>
      </c>
      <c r="D6" s="25">
        <f>-('CONTO ECONOMICO'!D16)</f>
      </c>
      <c r="E6" s="25">
        <f>-('CONTO ECONOMICO'!E16)</f>
      </c>
      <c r="F6" s="25">
        <f>-('CONTO ECONOMICO'!F16)</f>
      </c>
    </row>
    <row r="7" spans="1:6" x14ac:dyDescent="0.25">
      <c r="A7" s="10" t="s">
        <v>119</v>
      </c>
      <c r="B7" s="26">
        <v>-15000</v>
      </c>
      <c r="C7" s="26">
        <v>-15300</v>
      </c>
      <c r="D7" s="26">
        <v>-15606</v>
      </c>
      <c r="E7" s="26">
        <v>-15918.120000000003</v>
      </c>
      <c r="F7" s="26">
        <v>-16236.482399999999</v>
      </c>
    </row>
    <row r="8" spans="1:6" x14ac:dyDescent="0.25">
      <c r="A8" s="10" t="s">
        <v>120</v>
      </c>
      <c r="B8" s="26">
        <v>-17020.964511820697</v>
      </c>
      <c r="C8" s="26">
        <v>-16113.32157922786</v>
      </c>
      <c r="D8" s="26">
        <v>-15253.890528614753</v>
      </c>
      <c r="E8" s="26">
        <v>-14440.119279114886</v>
      </c>
      <c r="F8" s="26">
        <v>-13669.590428243471</v>
      </c>
    </row>
    <row r="9" spans="1:6" x14ac:dyDescent="0.25">
      <c r="A9" s="33" t="s">
        <v>121</v>
      </c>
      <c r="B9" s="34">
        <v>-25200</v>
      </c>
      <c r="C9" s="34">
        <v>-25704</v>
      </c>
      <c r="D9" s="34">
        <v>-26218.079999999998</v>
      </c>
      <c r="E9" s="34">
        <v>-26742.441600000006</v>
      </c>
      <c r="F9" s="34">
        <v>-41236.93397004211</v>
      </c>
    </row>
    <row r="11" spans="1:6" x14ac:dyDescent="0.25">
      <c r="A11" s="4" t="s">
        <v>122</v>
      </c>
      <c r="B11" s="27">
        <f>B3+B5+B6+B7+B8+B9</f>
      </c>
      <c r="C11" s="27">
        <f>C3+C5+C6+C7+C8+C9</f>
      </c>
      <c r="D11" s="27">
        <f>D3+D5+D6+D7+D8+D9</f>
      </c>
      <c r="E11" s="27">
        <f>E3+E5+E6+E7+E8+E9</f>
      </c>
      <c r="F11" s="27">
        <f>F3+F5+F6+F7+F8+F9</f>
      </c>
    </row>
    <row r="12" spans="1:6" x14ac:dyDescent="0.25">
      <c r="A12" s="28" t="s">
        <v>123</v>
      </c>
      <c r="B12" s="29">
        <f>-('RENDICONTO FINANZIARIO SPV'!B23)</f>
      </c>
      <c r="C12" s="29">
        <f>-('RENDICONTO FINANZIARIO SPV'!C23)</f>
      </c>
      <c r="D12" s="29">
        <f>-('RENDICONTO FINANZIARIO SPV'!D23)</f>
      </c>
      <c r="E12" s="29">
        <f>-('RENDICONTO FINANZIARIO SPV'!E23)</f>
      </c>
      <c r="F12" s="29">
        <f>-('RENDICONTO FINANZIARIO SPV'!F23)</f>
      </c>
    </row>
    <row r="14" spans="1:6" x14ac:dyDescent="0.25">
      <c r="A14" s="2" t="s">
        <v>124</v>
      </c>
      <c r="B14" s="24">
        <f>B15+B16+B17</f>
      </c>
      <c r="C14" s="24">
        <f>C15+C16+C17</f>
      </c>
      <c r="D14" s="24">
        <f>D15+D16+D17</f>
      </c>
      <c r="E14" s="24">
        <f>E15+E16+E17</f>
      </c>
      <c r="F14" s="24">
        <f>F15+F16+F17</f>
      </c>
    </row>
    <row r="15" spans="1:6" x14ac:dyDescent="0.25">
      <c r="A15" s="6" t="s">
        <v>125</v>
      </c>
      <c r="B15" s="25">
        <f>0</f>
      </c>
      <c r="C15" s="25">
        <f>0</f>
      </c>
      <c r="D15" s="25">
        <f>0</f>
      </c>
      <c r="E15" s="25">
        <f>0</f>
      </c>
      <c r="F15" s="25">
        <f>FINANZA!$B$25 * ('DRIVER OPERATIVI'!F18 / 1000)</f>
      </c>
    </row>
    <row r="16" spans="1:6" x14ac:dyDescent="0.25">
      <c r="A16" s="6" t="s">
        <v>126</v>
      </c>
      <c r="B16" s="25">
        <f>0</f>
      </c>
      <c r="C16" s="25">
        <f>0</f>
      </c>
      <c r="D16" s="25">
        <f>0</f>
      </c>
      <c r="E16" s="25">
        <f>0</f>
      </c>
      <c r="F16" s="25">
        <f>-AMMORTAMENTO!F8</f>
      </c>
    </row>
    <row r="17" spans="1:6" x14ac:dyDescent="0.25">
      <c r="A17" s="6" t="s">
        <v>127</v>
      </c>
      <c r="B17" s="25">
        <v>0</v>
      </c>
      <c r="C17" s="25">
        <v>0</v>
      </c>
      <c r="D17" s="25">
        <v>0</v>
      </c>
      <c r="E17" s="25">
        <v>0</v>
      </c>
      <c r="F17" s="25">
        <v>-46150.46769685554</v>
      </c>
    </row>
    <row r="19" spans="1:6" x14ac:dyDescent="0.25">
      <c r="A19" s="4" t="s">
        <v>128</v>
      </c>
      <c r="B19" s="27">
        <f>B11+B12+B14</f>
      </c>
      <c r="C19" s="27">
        <f>C11+C12+C14</f>
      </c>
      <c r="D19" s="27">
        <f>D11+D12+D14</f>
      </c>
      <c r="E19" s="27">
        <f>E11+E12+E14</f>
      </c>
      <c r="F19" s="27">
        <f>F11+F12+F14</f>
      </c>
    </row>
    <row r="20" spans="1:6" x14ac:dyDescent="0.25">
      <c r="A20" s="4" t="s">
        <v>129</v>
      </c>
      <c r="B20" s="27">
        <f>B19</f>
      </c>
      <c r="C20" s="27">
        <f>B20+C19</f>
      </c>
      <c r="D20" s="27">
        <f>C20+D19</f>
      </c>
      <c r="E20" s="27">
        <f>D20+E19</f>
      </c>
      <c r="F20" s="27">
        <f>E20+F19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0" customWidth="1"/>
    <col min="2" max="2" width="25" customWidth="1"/>
    <col min="3" max="3" width="15" customWidth="1"/>
  </cols>
  <sheetData>
    <row r="1" spans="1:3" x14ac:dyDescent="0.25">
      <c r="A1" s="1" t="s">
        <v>130</v>
      </c>
      <c r="B1" s="1" t="s">
        <v>131</v>
      </c>
      <c r="C1" s="1" t="s">
        <v>132</v>
      </c>
    </row>
    <row r="2" spans="1:1" s="35" customFormat="1" x14ac:dyDescent="0.25">
      <c r="A2" s="22" t="s">
        <v>133</v>
      </c>
    </row>
    <row r="3" spans="1:2" x14ac:dyDescent="0.25">
      <c r="A3" t="s">
        <v>134</v>
      </c>
      <c r="B3" s="19">
        <v>0.08</v>
      </c>
    </row>
    <row r="4" spans="1:2" x14ac:dyDescent="0.25">
      <c r="A4" t="s">
        <v>135</v>
      </c>
      <c r="B4" s="19">
        <v>0.06</v>
      </c>
    </row>
    <row r="5" spans="1:2" x14ac:dyDescent="0.25">
      <c r="A5" t="s">
        <v>136</v>
      </c>
      <c r="B5" s="19">
        <v>0.02</v>
      </c>
    </row>
    <row r="6" spans="1:2" x14ac:dyDescent="0.25">
      <c r="A6" t="s">
        <v>137</v>
      </c>
      <c r="B6" s="19">
        <v>0.09</v>
      </c>
    </row>
    <row r="8" spans="1:1" s="35" customFormat="1" x14ac:dyDescent="0.25">
      <c r="A8" s="22" t="s">
        <v>138</v>
      </c>
    </row>
    <row r="9" spans="1:2" x14ac:dyDescent="0.25">
      <c r="A9" t="s">
        <v>139</v>
      </c>
      <c r="B9" s="19">
        <v>0.75</v>
      </c>
    </row>
    <row r="10" spans="1:2" x14ac:dyDescent="0.25">
      <c r="A10" t="s">
        <v>140</v>
      </c>
      <c r="B10" s="19">
        <v>0.045</v>
      </c>
    </row>
    <row r="11" spans="1:2" x14ac:dyDescent="0.25">
      <c r="A11" t="s">
        <v>141</v>
      </c>
      <c r="B11" t="s">
        <v>142</v>
      </c>
    </row>
    <row r="12" spans="1:2" x14ac:dyDescent="0.25">
      <c r="A12" t="s">
        <v>143</v>
      </c>
      <c r="B12">
        <v>10</v>
      </c>
    </row>
    <row r="13" spans="1:2" x14ac:dyDescent="0.25">
      <c r="A13" t="s">
        <v>144</v>
      </c>
      <c r="B13" t="s">
        <v>145</v>
      </c>
    </row>
    <row r="14" spans="1:2" x14ac:dyDescent="0.25">
      <c r="A14" t="s">
        <v>146</v>
      </c>
      <c r="B14" s="19">
        <v>0.5</v>
      </c>
    </row>
    <row r="15" spans="1:2" x14ac:dyDescent="0.25">
      <c r="A15" t="s">
        <v>147</v>
      </c>
      <c r="B15">
        <v>5</v>
      </c>
    </row>
    <row r="17" spans="1:1" s="35" customFormat="1" x14ac:dyDescent="0.25">
      <c r="A17" s="22" t="s">
        <v>148</v>
      </c>
    </row>
    <row r="18" spans="1:2" x14ac:dyDescent="0.25">
      <c r="A18" t="s">
        <v>149</v>
      </c>
      <c r="B18" s="19">
        <v>1</v>
      </c>
    </row>
    <row r="19" spans="1:2" x14ac:dyDescent="0.25">
      <c r="A19" t="s">
        <v>150</v>
      </c>
      <c r="B19" s="19">
        <v>0.055</v>
      </c>
    </row>
    <row r="20" spans="1:2" x14ac:dyDescent="0.25">
      <c r="A20" t="s">
        <v>151</v>
      </c>
      <c r="B20">
        <v>10</v>
      </c>
    </row>
    <row r="21" spans="1:2" x14ac:dyDescent="0.25">
      <c r="A21" t="s">
        <v>152</v>
      </c>
      <c r="B21">
        <v>10</v>
      </c>
    </row>
    <row r="22" spans="1:2" x14ac:dyDescent="0.25">
      <c r="A22" t="s">
        <v>153</v>
      </c>
      <c r="B22" s="18">
        <v>10000</v>
      </c>
    </row>
    <row r="23" spans="1:2" x14ac:dyDescent="0.25">
      <c r="A23" t="s">
        <v>154</v>
      </c>
      <c r="B23" t="s">
        <v>155</v>
      </c>
    </row>
    <row r="24" spans="1:2" x14ac:dyDescent="0.25">
      <c r="A24" t="s">
        <v>156</v>
      </c>
      <c r="B24">
        <v>6.743292939089694</v>
      </c>
    </row>
    <row r="25" spans="1:2" x14ac:dyDescent="0.25">
      <c r="A25" t="s">
        <v>157</v>
      </c>
      <c r="B25" s="18">
        <v>900000</v>
      </c>
    </row>
    <row r="26" spans="1:2" x14ac:dyDescent="0.25">
      <c r="A26" t="s">
        <v>158</v>
      </c>
      <c r="B26" s="18">
        <v>7367579.999999999</v>
      </c>
    </row>
    <row r="28" spans="1:1" s="35" customFormat="1" x14ac:dyDescent="0.25">
      <c r="A28" s="22" t="s">
        <v>159</v>
      </c>
    </row>
    <row r="29" spans="1:2" x14ac:dyDescent="0.25">
      <c r="A29" t="s">
        <v>160</v>
      </c>
      <c r="B29" t="s">
        <v>161</v>
      </c>
    </row>
    <row r="30" spans="1:2" x14ac:dyDescent="0.25">
      <c r="A30" t="s">
        <v>162</v>
      </c>
      <c r="B30" s="18">
        <v>75</v>
      </c>
    </row>
    <row r="31" spans="1:2" x14ac:dyDescent="0.25">
      <c r="A31" t="s">
        <v>163</v>
      </c>
      <c r="B31" s="19">
        <v>0.05</v>
      </c>
    </row>
    <row r="32" spans="1:2" x14ac:dyDescent="0.25">
      <c r="A32" t="s">
        <v>164</v>
      </c>
      <c r="B32" t="s">
        <v>165</v>
      </c>
    </row>
    <row r="34" spans="1:1" s="35" customFormat="1" x14ac:dyDescent="0.25">
      <c r="A34" s="22" t="s">
        <v>166</v>
      </c>
    </row>
    <row r="35" spans="1:2" s="36" customFormat="1" x14ac:dyDescent="0.25">
      <c r="A35" s="36" t="s">
        <v>167</v>
      </c>
      <c r="B35" s="21">
        <f>CAPEX!D10</f>
      </c>
    </row>
    <row r="36" spans="1:2" x14ac:dyDescent="0.25">
      <c r="A36" t="s">
        <v>168</v>
      </c>
      <c r="B36" s="18">
        <f>CAPEX!D6</f>
      </c>
    </row>
    <row r="37" spans="1:2" x14ac:dyDescent="0.25">
      <c r="A37" t="s">
        <v>169</v>
      </c>
      <c r="B37" s="18">
        <v>10000</v>
      </c>
    </row>
    <row r="38" spans="1:3" s="36" customFormat="1" x14ac:dyDescent="0.25">
      <c r="A38" s="36" t="s">
        <v>170</v>
      </c>
      <c r="B38" s="21">
        <f>B35 + B37</f>
      </c>
      <c r="C38" s="37">
        <v>1</v>
      </c>
    </row>
    <row r="39" spans="1:2" x14ac:dyDescent="0.25">
      <c r="A39" t="s">
        <v>171</v>
      </c>
      <c r="B39" s="18">
        <f>B35 - B36</f>
      </c>
    </row>
    <row r="41" spans="1:1" s="35" customFormat="1" x14ac:dyDescent="0.25">
      <c r="A41" s="22" t="s">
        <v>172</v>
      </c>
    </row>
    <row r="42" spans="1:3" x14ac:dyDescent="0.25">
      <c r="A42" t="s">
        <v>173</v>
      </c>
      <c r="B42" s="18">
        <f>IF(B12 &gt; 0, B39 * B9, 0)</f>
      </c>
      <c r="C42" s="19">
        <f>IFERROR(B42 / B38, 0)</f>
      </c>
    </row>
    <row r="43" spans="1:3" s="36" customFormat="1" x14ac:dyDescent="0.25">
      <c r="A43" s="36" t="s">
        <v>174</v>
      </c>
      <c r="B43" s="21">
        <f>B38 - B42</f>
      </c>
      <c r="C43" s="37">
        <f>IFERROR(B43 / B38, 0)</f>
      </c>
    </row>
    <row r="44" spans="1:2" x14ac:dyDescent="0.25">
      <c r="A44" t="s">
        <v>175</v>
      </c>
      <c r="B44" s="18">
        <f>B37</f>
      </c>
    </row>
    <row r="45" spans="1:2" x14ac:dyDescent="0.25">
      <c r="A45" t="s">
        <v>176</v>
      </c>
      <c r="B45" s="18">
        <f>MAX(0, B35 - B36 - B42) * B18</f>
      </c>
    </row>
    <row r="46" spans="1:2" x14ac:dyDescent="0.25">
      <c r="A46" t="s">
        <v>177</v>
      </c>
      <c r="B46" s="18">
        <f>B43 - B44 - B45</f>
      </c>
    </row>
    <row r="48" spans="1:2" s="36" customFormat="1" x14ac:dyDescent="0.25">
      <c r="A48" s="36" t="s">
        <v>178</v>
      </c>
      <c r="B48" s="21">
        <f>B42 + B43</f>
      </c>
    </row>
    <row r="50" spans="1:2" s="36" customFormat="1" x14ac:dyDescent="0.25">
      <c r="A50" s="36" t="s">
        <v>179</v>
      </c>
      <c r="B50" s="21">
        <f>B38 - B48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5" customWidth="1"/>
    <col min="2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x14ac:dyDescent="0.25">
      <c r="A3" s="38" t="s">
        <v>180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</row>
    <row r="4" spans="1:6" x14ac:dyDescent="0.25">
      <c r="A4" s="39" t="s">
        <v>181</v>
      </c>
      <c r="B4" s="40">
        <v>4498203</v>
      </c>
      <c r="C4" s="40">
        <f>B8</f>
      </c>
      <c r="D4" s="40">
        <f>C8</f>
      </c>
      <c r="E4" s="40">
        <f>D8</f>
      </c>
      <c r="F4" s="40">
        <f>E8</f>
      </c>
    </row>
    <row r="5" spans="1:6" x14ac:dyDescent="0.25">
      <c r="A5" s="41" t="s">
        <v>182</v>
      </c>
      <c r="B5" s="42">
        <f>-IF(1 &lt;= FINANZA!$B$12, MAX(0, B4) * FINANZA!$B$10, 0)</f>
      </c>
      <c r="C5" s="42">
        <f>-IF(2 &lt;= FINANZA!$B$12, MAX(0, C4) * FINANZA!$B$10, 0)</f>
      </c>
      <c r="D5" s="42">
        <f>-IF(3 &lt;= FINANZA!$B$12, MAX(0, D4) * FINANZA!$B$10, 0)</f>
      </c>
      <c r="E5" s="42">
        <f>-IF(4 &lt;= FINANZA!$B$12, MAX(0, E4) * FINANZA!$B$10, 0)</f>
      </c>
      <c r="F5" s="42">
        <f>-IF(5 &lt;= FINANZA!$B$12, MAX(0, F4) * FINANZA!$B$10, 0)</f>
      </c>
    </row>
    <row r="6" spans="1:6" x14ac:dyDescent="0.25">
      <c r="A6" s="41" t="s">
        <v>183</v>
      </c>
      <c r="B6" s="42">
        <f>MAX(-B4, IF(1 &lt;= FINANZA!$B$12, PPMT(FINANZA!$B$10, 1, FINANZA!$B$12, FINANZA!$B$42), 0))</f>
      </c>
      <c r="C6" s="42">
        <f>MAX(-C4, IF(2 &lt;= FINANZA!$B$12, PPMT(FINANZA!$B$10, 2, FINANZA!$B$12, FINANZA!$B$42), 0))</f>
      </c>
      <c r="D6" s="42">
        <f>MAX(-D4, IF(3 &lt;= FINANZA!$B$12, PPMT(FINANZA!$B$10, 3, FINANZA!$B$12, FINANZA!$B$42), 0))</f>
      </c>
      <c r="E6" s="42">
        <f>MAX(-E4, IF(4 &lt;= FINANZA!$B$12, PPMT(FINANZA!$B$10, 4, FINANZA!$B$12, FINANZA!$B$42), 0))</f>
      </c>
      <c r="F6" s="42">
        <f>MAX(-F4, IF(5 &lt;= FINANZA!$B$12, PPMT(FINANZA!$B$10, 5, FINANZA!$B$12, FINANZA!$B$42), 0))</f>
      </c>
    </row>
    <row r="7" spans="1:6" x14ac:dyDescent="0.25">
      <c r="A7" s="41" t="s">
        <v>184</v>
      </c>
      <c r="B7" s="42">
        <f>-IF(1 &lt; FINANZA!$B$15, MAX(0, MIN(B4 + B6, IF(FINANZA!$B$13="% del CFADS", ('RENDICONTO FINANZIARIO SPV'!B11 + B5 + B6) * FINANZA!$B$14, IF(FINANZA!$B$13="€ Fisso/Anno", FINANZA!$B$14, 0)))), 0)</f>
      </c>
      <c r="C7" s="42">
        <f>-IF(2 &lt; FINANZA!$B$15, MAX(0, MIN(C4 + C6, IF(FINANZA!$B$13="% del CFADS", ('RENDICONTO FINANZIARIO SPV'!C11 + C5 + C6) * FINANZA!$B$14, IF(FINANZA!$B$13="€ Fisso/Anno", FINANZA!$B$14, 0)))), 0)</f>
      </c>
      <c r="D7" s="42">
        <f>-IF(3 &lt; FINANZA!$B$15, MAX(0, MIN(D4 + D6, IF(FINANZA!$B$13="% del CFADS", ('RENDICONTO FINANZIARIO SPV'!D11 + D5 + D6) * FINANZA!$B$14, IF(FINANZA!$B$13="€ Fisso/Anno", FINANZA!$B$14, 0)))), 0)</f>
      </c>
      <c r="E7" s="42">
        <f>-IF(4 &lt; FINANZA!$B$15, MAX(0, MIN(E4 + E6, IF(FINANZA!$B$13="% del CFADS", ('RENDICONTO FINANZIARIO SPV'!E11 + E5 + E6) * FINANZA!$B$14, IF(FINANZA!$B$13="€ Fisso/Anno", FINANZA!$B$14, 0)))), 0)</f>
      </c>
      <c r="F7" s="42">
        <f>-IF(5 &lt; FINANZA!$B$15, MAX(0, MIN(F4 + F6, IF(FINANZA!$B$13="% del CFADS", ('RENDICONTO FINANZIARIO SPV'!F11 + F5 + F6) * FINANZA!$B$14, IF(FINANZA!$B$13="€ Fisso/Anno", FINANZA!$B$14, 0)))), 0)</f>
      </c>
    </row>
    <row r="8" spans="1:6" x14ac:dyDescent="0.25">
      <c r="A8" s="43" t="s">
        <v>185</v>
      </c>
      <c r="B8" s="44">
        <f>MAX(0, B4 + B6 + B7)</f>
      </c>
      <c r="C8" s="44">
        <f>MAX(0, C4 + C6 + C7)</f>
      </c>
      <c r="D8" s="44">
        <f>MAX(0, D4 + D6 + D7)</f>
      </c>
      <c r="E8" s="44">
        <f>MAX(0, E4 + E6 + E7)</f>
      </c>
      <c r="F8" s="44">
        <f>MAX(0, F4 + F6 + F7)</f>
      </c>
    </row>
    <row r="10" spans="1:6" x14ac:dyDescent="0.25">
      <c r="A10" s="45" t="s">
        <v>186</v>
      </c>
      <c r="B10" s="46">
        <f>B5+B6+B7</f>
      </c>
      <c r="C10" s="46">
        <f>C5+C6+C7</f>
      </c>
      <c r="D10" s="46">
        <f>D5+D6+D7</f>
      </c>
      <c r="E10" s="46">
        <f>E5+E6+E7</f>
      </c>
      <c r="F10" s="46">
        <f>F5+F6+F7</f>
      </c>
    </row>
    <row r="11" spans="1:6" x14ac:dyDescent="0.25">
      <c r="A11" s="43" t="s">
        <v>187</v>
      </c>
      <c r="B11" s="47">
        <f>IFERROR('RENDICONTO FINANZIARIO SPV'!B11/-(B5+B6), 0)</f>
      </c>
      <c r="C11" s="47">
        <f>IFERROR('RENDICONTO FINANZIARIO SPV'!C11/-(C5+C6), 0)</f>
      </c>
      <c r="D11" s="47">
        <f>IFERROR('RENDICONTO FINANZIARIO SPV'!D11/-(D5+D6), 0)</f>
      </c>
      <c r="E11" s="47">
        <f>IFERROR('RENDICONTO FINANZIARIO SPV'!E11/-(E5+E6), 0)</f>
      </c>
      <c r="F11" s="47">
        <f>IFERROR('RENDICONTO FINANZIARIO SPV'!F11/-(F5+F6), 0)</f>
      </c>
    </row>
    <row r="13" spans="1:6" x14ac:dyDescent="0.25">
      <c r="A13" s="48" t="s">
        <v>188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</row>
    <row r="14" spans="1:6" x14ac:dyDescent="0.25">
      <c r="A14" s="39" t="s">
        <v>189</v>
      </c>
      <c r="B14" s="40">
        <v>1499401</v>
      </c>
      <c r="C14" s="40">
        <f>B18</f>
      </c>
      <c r="D14" s="40">
        <f>C18</f>
      </c>
      <c r="E14" s="40">
        <f>D18</f>
      </c>
      <c r="F14" s="40">
        <f>E18</f>
      </c>
    </row>
    <row r="15" spans="1:6" x14ac:dyDescent="0.25">
      <c r="A15" s="41" t="s">
        <v>190</v>
      </c>
      <c r="B15" s="42">
        <v>0</v>
      </c>
      <c r="C15" s="42">
        <v>0</v>
      </c>
      <c r="D15" s="42">
        <v>0</v>
      </c>
      <c r="E15" s="42">
        <v>0</v>
      </c>
      <c r="F15" s="42">
        <v>0</v>
      </c>
    </row>
    <row r="16" spans="1:6" x14ac:dyDescent="0.25">
      <c r="A16" s="49" t="s">
        <v>191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</row>
    <row r="17" spans="1:6" x14ac:dyDescent="0.25">
      <c r="A17" s="41" t="s">
        <v>192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</row>
    <row r="18" spans="1:6" x14ac:dyDescent="0.25">
      <c r="A18" s="43" t="s">
        <v>193</v>
      </c>
      <c r="B18" s="44">
        <f>B14-B15-B16+B17</f>
      </c>
      <c r="C18" s="44">
        <f>C14-C15-C16+C17</f>
      </c>
      <c r="D18" s="44">
        <f>D14-D15-D16+D17</f>
      </c>
      <c r="E18" s="44">
        <f>E14-E15-E16+E17</f>
      </c>
      <c r="F18" s="44">
        <f>F14-F15-F16+F17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DRIVER OPERATIVI</vt:lpstr>
      <vt:lpstr>CAPEX</vt:lpstr>
      <vt:lpstr>OPEX</vt:lpstr>
      <vt:lpstr>CONTO ECONOMICO</vt:lpstr>
      <vt:lpstr>RENDICONTO FINANZIARIO SPV</vt:lpstr>
      <vt:lpstr>RENDICONTO FINANZIARIO HOLDING</vt:lpstr>
      <vt:lpstr>FINANZA</vt:lpstr>
      <vt:lpstr>AMMORTAMENTO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&amp; BESS M&amp;A Deal Simulator</dc:creator>
  <dc:title/>
  <dc:subject/>
  <dc:description/>
  <cp:keywords/>
  <cp:category/>
  <cp:lastModifiedBy>Enterprise Edition</cp:lastModifiedBy>
  <dcterms:created xsi:type="dcterms:W3CDTF">2026-06-21T15:17:23Z</dcterms:created>
  <dcterms:modified xsi:type="dcterms:W3CDTF">2026-06-21T15:17:23Z</dcterms:modified>
</cp:coreProperties>
</file>